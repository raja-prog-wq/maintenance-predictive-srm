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9630" tabRatio="794" activeTab="2"/>
  </bookViews>
  <sheets>
    <sheet name="Réservoir" sheetId="1" r:id="rId1"/>
    <sheet name="SP" sheetId="2" r:id="rId2"/>
    <sheet name="réseau" sheetId="3" r:id="rId3"/>
  </sheets>
  <definedNames>
    <definedName name="_xlnm._FilterDatabase" localSheetId="2" hidden="1">réseau!$A$7:$H$7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2" l="1"/>
  <c r="F34" i="2" l="1"/>
  <c r="F9" i="2" l="1"/>
  <c r="H9" i="2"/>
  <c r="F10" i="2" l="1"/>
  <c r="H10" i="2"/>
  <c r="F11" i="2" l="1"/>
  <c r="H11" i="2"/>
  <c r="F22" i="2"/>
  <c r="F17" i="2"/>
  <c r="H18" i="2"/>
  <c r="F18" i="2"/>
  <c r="H20" i="2"/>
  <c r="H19" i="2"/>
</calcChain>
</file>

<file path=xl/sharedStrings.xml><?xml version="1.0" encoding="utf-8"?>
<sst xmlns="http://schemas.openxmlformats.org/spreadsheetml/2006/main" count="2865" uniqueCount="229">
  <si>
    <t>Désignation</t>
  </si>
  <si>
    <t>Type</t>
  </si>
  <si>
    <t>Commune</t>
  </si>
  <si>
    <t>Adresse/ position GPS</t>
  </si>
  <si>
    <t>Capacité</t>
  </si>
  <si>
    <t>(en m3)</t>
  </si>
  <si>
    <t>Nombre de cuves</t>
  </si>
  <si>
    <t xml:space="preserve">Date de mise en service </t>
  </si>
  <si>
    <t>Observations</t>
  </si>
  <si>
    <t>Réservoirs</t>
  </si>
  <si>
    <t xml:space="preserve">Puissance Installée </t>
  </si>
  <si>
    <t>(en kW)</t>
  </si>
  <si>
    <t>Nombre de Groupes</t>
  </si>
  <si>
    <t>Débit Global (en l/s)</t>
  </si>
  <si>
    <t>Stations de Pompage-Surpresseurs</t>
  </si>
  <si>
    <t>Diamètre (mm)</t>
  </si>
  <si>
    <t>Matériau</t>
  </si>
  <si>
    <t>Longueur (ml)</t>
  </si>
  <si>
    <t>Mode gravitaire ou refoulement</t>
  </si>
  <si>
    <t>Localisation/Commune</t>
  </si>
  <si>
    <t>Etat</t>
  </si>
  <si>
    <t>Préfecture/Province:…………………………..</t>
  </si>
  <si>
    <t>Opérateur:ONEE-Branche Eau</t>
  </si>
  <si>
    <t>Région: …………….</t>
  </si>
  <si>
    <t>AZILAL</t>
  </si>
  <si>
    <t>Bon</t>
  </si>
  <si>
    <t>Moyen</t>
  </si>
  <si>
    <t>OUZOUD</t>
  </si>
  <si>
    <t>OUAOUIZEGHT</t>
  </si>
  <si>
    <t>BENI HASSAN</t>
  </si>
  <si>
    <t>AFOURER</t>
  </si>
  <si>
    <t>FOUM JEMAA</t>
  </si>
  <si>
    <t>SR2</t>
  </si>
  <si>
    <t>DEMNATE</t>
  </si>
  <si>
    <t>IMLIL</t>
  </si>
  <si>
    <t>BZOU</t>
  </si>
  <si>
    <t>RV400</t>
  </si>
  <si>
    <t>TANANT</t>
  </si>
  <si>
    <t>RV250</t>
  </si>
  <si>
    <t>BENI AYAT</t>
  </si>
  <si>
    <t>TIFNI</t>
  </si>
  <si>
    <t>OUAOULA</t>
  </si>
  <si>
    <t>réservoir Semi-enterré</t>
  </si>
  <si>
    <t>RV500</t>
  </si>
  <si>
    <t>RV1000</t>
  </si>
  <si>
    <t>RV2000</t>
  </si>
  <si>
    <t>RV100</t>
  </si>
  <si>
    <t>Semi-enterré</t>
  </si>
  <si>
    <t>RV120</t>
  </si>
  <si>
    <t>Surélevé</t>
  </si>
  <si>
    <t>RFALA</t>
  </si>
  <si>
    <t>RV70</t>
  </si>
  <si>
    <t>RV200</t>
  </si>
  <si>
    <t>réservoir Surelevé</t>
  </si>
  <si>
    <t>Semi-entteré</t>
  </si>
  <si>
    <t>RV240</t>
  </si>
  <si>
    <t>RV140</t>
  </si>
  <si>
    <t>RV150</t>
  </si>
  <si>
    <t>RV50</t>
  </si>
  <si>
    <t>RV80</t>
  </si>
  <si>
    <t>Bâche</t>
  </si>
  <si>
    <t>enteré</t>
  </si>
  <si>
    <t>Dégradé</t>
  </si>
  <si>
    <t>RV300</t>
  </si>
  <si>
    <t>surélevé</t>
  </si>
  <si>
    <t>Béni Hssan</t>
  </si>
  <si>
    <t>SR1</t>
  </si>
  <si>
    <t>RV60</t>
  </si>
  <si>
    <t>SEMI ENTREE</t>
  </si>
  <si>
    <t>RV174</t>
  </si>
  <si>
    <t>Sur elevé</t>
  </si>
  <si>
    <t>semi-enterré</t>
  </si>
  <si>
    <t>AIT M'HAMMED</t>
  </si>
  <si>
    <t>Surlevé</t>
  </si>
  <si>
    <t>RV170</t>
  </si>
  <si>
    <t>RV25</t>
  </si>
  <si>
    <t>RV600</t>
  </si>
  <si>
    <t>RV50 m3</t>
  </si>
  <si>
    <t>50 m3</t>
  </si>
  <si>
    <t>RV30 m3</t>
  </si>
  <si>
    <t>30 m3</t>
  </si>
  <si>
    <t>RV200 m3</t>
  </si>
  <si>
    <t>200 m3</t>
  </si>
  <si>
    <t>RV150 m3</t>
  </si>
  <si>
    <t>150 m3</t>
  </si>
  <si>
    <t>TIDILI FETOUAKA</t>
  </si>
  <si>
    <t>RV1500</t>
  </si>
  <si>
    <t>Ait majden</t>
  </si>
  <si>
    <t>TAMDA AMRCIDE</t>
  </si>
  <si>
    <t xml:space="preserve"> Semi-enterré</t>
  </si>
  <si>
    <t>Bache</t>
  </si>
  <si>
    <t>TRONCON</t>
  </si>
  <si>
    <t>Refoulement</t>
  </si>
  <si>
    <t>PVC</t>
  </si>
  <si>
    <t>PEHD</t>
  </si>
  <si>
    <t>Gravitaire</t>
  </si>
  <si>
    <t>FONTE</t>
  </si>
  <si>
    <t>AC</t>
  </si>
  <si>
    <t>BON</t>
  </si>
  <si>
    <t>gravitaire</t>
  </si>
  <si>
    <t>TAMDA NOUMERCID</t>
  </si>
  <si>
    <t>Station de reprise</t>
  </si>
  <si>
    <t>SR4</t>
  </si>
  <si>
    <t>FOUM-JEMAA</t>
  </si>
  <si>
    <t>SR6-1-1</t>
  </si>
  <si>
    <t>SR6-1-2</t>
  </si>
  <si>
    <t>SR7</t>
  </si>
  <si>
    <t>RESEAU</t>
  </si>
  <si>
    <t>OUAOUIZERT</t>
  </si>
  <si>
    <t>Moulay Aissa Ben dris</t>
  </si>
  <si>
    <t>R 1000m3</t>
  </si>
  <si>
    <t>Surpresseur</t>
  </si>
  <si>
    <t>1.11 l/s</t>
  </si>
  <si>
    <t>SR3</t>
  </si>
  <si>
    <t>ait ouganoune</t>
  </si>
  <si>
    <t>45+132</t>
  </si>
  <si>
    <t>25+50</t>
  </si>
  <si>
    <t>qu.administratif</t>
  </si>
  <si>
    <t>7.5+12.6</t>
  </si>
  <si>
    <t>9+15</t>
  </si>
  <si>
    <t>SR6-2</t>
  </si>
  <si>
    <t>Douar Bouljrouf</t>
  </si>
  <si>
    <t>Douar Igourdane</t>
  </si>
  <si>
    <t>3Principal+1secours</t>
  </si>
  <si>
    <t>SR</t>
  </si>
  <si>
    <t>SR14</t>
  </si>
  <si>
    <t>SR10</t>
  </si>
  <si>
    <t>SR SUR RV200</t>
  </si>
  <si>
    <t xml:space="preserve">IMLIL </t>
  </si>
  <si>
    <t>50-125</t>
  </si>
  <si>
    <t>AIT MHAMMED</t>
  </si>
  <si>
    <t>SURELEVE</t>
  </si>
  <si>
    <t>OUAOULA (Rural)</t>
  </si>
  <si>
    <t>TANANT(Rural)</t>
  </si>
  <si>
    <t>RV 200</t>
  </si>
  <si>
    <t>bache 50</t>
  </si>
  <si>
    <t>SURPRESSEUR</t>
  </si>
  <si>
    <t>Station de pompage</t>
  </si>
  <si>
    <t>SR AIT SEHNOUN</t>
  </si>
  <si>
    <t>7,5</t>
  </si>
  <si>
    <t>BACHE</t>
  </si>
  <si>
    <t>AG</t>
  </si>
  <si>
    <t>SURPRESSEUR AHANSAL</t>
  </si>
  <si>
    <t xml:space="preserve">Bon </t>
  </si>
  <si>
    <t>BENI AYAT( DOUARS )</t>
  </si>
  <si>
    <t>Moulay Aissa ben DRIS (centre AIT ATTAB)</t>
  </si>
  <si>
    <t>Moulay Aissa ben DRIS(centre TISQUI)</t>
  </si>
  <si>
    <t>BZOU (centre IMEDAHEN)</t>
  </si>
  <si>
    <t>BZOU (centre IMEDDAHEN)</t>
  </si>
  <si>
    <t xml:space="preserve"> TANANT (RURAL TANANT)</t>
  </si>
  <si>
    <t>TAGUELLA (centre OUZOUD)</t>
  </si>
  <si>
    <t>TAGUELLA(centre OUZOUD)</t>
  </si>
  <si>
    <t>Moulay Aissa Ben driss(centre ait atab)</t>
  </si>
  <si>
    <t>BZOU(centre IMEDDAHEN)</t>
  </si>
  <si>
    <t>Réseau</t>
  </si>
  <si>
    <t>inexistant</t>
  </si>
  <si>
    <t>X = 31.961027
Y = -6.5520506
Z:</t>
  </si>
  <si>
    <t>X = 352733.59
Y = 124891.48</t>
  </si>
  <si>
    <t>X = 353942.03
Y = 142048.73</t>
  </si>
  <si>
    <t xml:space="preserve">X = 356533.41
Y = 176501.15 </t>
  </si>
  <si>
    <t xml:space="preserve">X = 364502.27 
Y = 175852.20  </t>
  </si>
  <si>
    <t>X= 375243.70
Y= 158235.96</t>
  </si>
  <si>
    <t>X= 374860.74 
Y= 158100.96</t>
  </si>
  <si>
    <t>X= 371886.53
Y= 142022.08</t>
  </si>
  <si>
    <t xml:space="preserve">X= 365957.06
Y= 139477.59 </t>
  </si>
  <si>
    <t>X= 345717.64 
Y= 173145.48</t>
  </si>
  <si>
    <t xml:space="preserve">X= 31.75936                             Y= -7.00990                            Z= 965 M </t>
  </si>
  <si>
    <t>X 31,724296 Y -6,990097</t>
  </si>
  <si>
    <t>X 31.723729Y -6,993379</t>
  </si>
  <si>
    <t xml:space="preserve">X= 344414.34 
Y= 165358.78 </t>
  </si>
  <si>
    <t>X= 351136.17 
Y= 161674.07</t>
  </si>
  <si>
    <t>X= 380810.16 
Y= 180927.78</t>
  </si>
  <si>
    <t>X= 387782.10 
Y= 179657.56</t>
  </si>
  <si>
    <t>X= 387993.97 
Y= 180155.24</t>
  </si>
  <si>
    <t>X= 381602.62 
Y= 175940.41</t>
  </si>
  <si>
    <t>X = 398442.54 
Y = 143385.32</t>
  </si>
  <si>
    <t>X= 364383.63
Y= 150222.32</t>
  </si>
  <si>
    <t>X= 364066.80
Y= 150976.02</t>
  </si>
  <si>
    <t>X= 377684.36  m
Y= 168312.85  m</t>
  </si>
  <si>
    <t>X= 376562.11  m
Y= 163576.06  m</t>
  </si>
  <si>
    <t>X= 371900.00   m
Y= 169440.00  m</t>
  </si>
  <si>
    <t>X= 371680.00  m
Y= 169350.00  m</t>
  </si>
  <si>
    <t>X 350750,977    Y 152682,464</t>
  </si>
  <si>
    <t>X  350753,44  Y  152278,970</t>
  </si>
  <si>
    <t>X= 351289.78
Y= 141895.34</t>
  </si>
  <si>
    <t>X= 384730.99
Y= 144338.50</t>
  </si>
  <si>
    <t>X= 386393.27
Y= 147333.05</t>
  </si>
  <si>
    <t>BACHE 25</t>
  </si>
  <si>
    <t>X= 382558.97
Y= 145308.53</t>
  </si>
  <si>
    <t>X= 385619.27
Y= 147303.16</t>
  </si>
  <si>
    <t>X 31.71243 Y-7.156934 Z 1042M</t>
  </si>
  <si>
    <t>X 31.72394 Y-7.18882             Z 815M</t>
  </si>
  <si>
    <t>X 31.72238 Y -7.15502</t>
  </si>
  <si>
    <t>X 31.72619 Y -7.07359</t>
  </si>
  <si>
    <t>X 31.734719 Y -7.059252</t>
  </si>
  <si>
    <t>X = 31.964888
Y = -6.561908</t>
  </si>
  <si>
    <t>X = 31.964746
Y = -6.561868</t>
  </si>
  <si>
    <t>X = 31.9632198
Y = -6.5472648</t>
  </si>
  <si>
    <t>X = 31.9611021
Y = -6.5517532</t>
  </si>
  <si>
    <t>X = 31.9513640
Y = -6.5903766</t>
  </si>
  <si>
    <t>X = 354013.37
Y = 142112.03</t>
  </si>
  <si>
    <t>X= 372669.00 
Y= 148233.00</t>
  </si>
  <si>
    <t>X= 410002.08  
Y= 174358.23</t>
  </si>
  <si>
    <t>X= 410212.65  
Y= 174501.75</t>
  </si>
  <si>
    <t xml:space="preserve">X= 410752.62  
Y= 174900.77 </t>
  </si>
  <si>
    <t>Bache50</t>
  </si>
  <si>
    <t>X= 343612.35
Y= 165789.70</t>
  </si>
  <si>
    <t>X= 343599.56
Y= 165784.40</t>
  </si>
  <si>
    <t>X= 342077.01  
Y= 174147.43</t>
  </si>
  <si>
    <t>X= 392549.55
Y= 178826.95</t>
  </si>
  <si>
    <t>X= 392471.84 
Y= 179303.61</t>
  </si>
  <si>
    <t>X= 392447.17 
Y= 179301.99</t>
  </si>
  <si>
    <t>X= 392718.95 
Y= 178414.40</t>
  </si>
  <si>
    <t>X= 392708.01 
Y= 179618.03</t>
  </si>
  <si>
    <t>X= 356049.73
Y= 157598.68</t>
  </si>
  <si>
    <t xml:space="preserve">X31.734719 Y-7.059252 Z </t>
  </si>
  <si>
    <t>X 31.72619                                   Y- 7.07359                                     Z 1117M</t>
  </si>
  <si>
    <t>X 31.72238                                   Y- 7.15502                                     Z 877M</t>
  </si>
  <si>
    <t>SR1( VER BF)</t>
  </si>
  <si>
    <t>SR 2 (vers AIT ABDERRAHMAN)</t>
  </si>
  <si>
    <t>SR OULED MBAREK</t>
  </si>
  <si>
    <t>SR OULED RMICH</t>
  </si>
  <si>
    <t xml:space="preserve">PVC </t>
  </si>
  <si>
    <t>PIQUAGE SUR ADDUCTION</t>
  </si>
  <si>
    <t>X=  371837.65
Y= 142269.48</t>
  </si>
  <si>
    <t>Conduite principale de distribution</t>
  </si>
  <si>
    <t>Moulay Aissa Ben driss(centreTISKI)</t>
  </si>
  <si>
    <t>BENI AYAT (DR BENI AYAT)</t>
  </si>
  <si>
    <t>X =356039.86  Y=157592.74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</si>
</sst>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€_-;\-* #,##0.00\ _€_-;_-* &quot;-&quot;??\ _€_-;_-@_-"/>
  </numFmts>
  <fonts count="20" x14ac:knownFonts="1">
    <font>
      <sz val="11"/>
      <color theme="1"/>
      <name val="Calibri"/>
      <family val="2"/>
      <scheme val="minor"/>
    </font>
    <font>
      <sz val="11"/>
      <color rgb="FF000000"/>
      <name val="Constantia"/>
      <family val="1"/>
    </font>
    <font>
      <b/>
      <sz val="2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000000"/>
      <name val="Constantia"/>
      <family val="1"/>
    </font>
    <font>
      <i/>
      <sz val="11"/>
      <name val="Calibri"/>
      <family val="2"/>
    </font>
    <font>
      <b/>
      <sz val="24"/>
      <name val="Calibri"/>
      <family val="2"/>
      <scheme val="minor"/>
    </font>
    <font>
      <i/>
      <sz val="14"/>
      <color rgb="FF000000"/>
      <name val="Calibri"/>
      <family val="2"/>
    </font>
    <font>
      <i/>
      <sz val="14"/>
      <name val="Calibri"/>
      <family val="2"/>
    </font>
    <font>
      <b/>
      <i/>
      <sz val="16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onstantia"/>
      <family val="1"/>
    </font>
    <font>
      <i/>
      <sz val="16"/>
      <name val="Calibri"/>
      <family val="2"/>
    </font>
    <font>
      <b/>
      <sz val="16"/>
      <color rgb="FF000000"/>
      <name val="Calibri"/>
      <family val="2"/>
    </font>
    <font>
      <i/>
      <sz val="13"/>
      <name val="Calibri"/>
      <family val="2"/>
    </font>
    <font>
      <sz val="10"/>
      <name val="Arial"/>
      <family val="2"/>
    </font>
    <font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18" fillId="0" borderId="0"/>
  </cellStyleXfs>
  <cellXfs count="121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6" fillId="0" borderId="0" xfId="0" applyFont="1"/>
    <xf numFmtId="0" fontId="4" fillId="0" borderId="0" xfId="0" applyFont="1"/>
    <xf numFmtId="0" fontId="0" fillId="0" borderId="0" xfId="0" applyFill="1"/>
    <xf numFmtId="0" fontId="7" fillId="0" borderId="0" xfId="0" applyFont="1" applyAlignment="1">
      <alignment horizontal="left" vertical="center" readingOrder="1"/>
    </xf>
    <xf numFmtId="0" fontId="3" fillId="0" borderId="0" xfId="0" applyFont="1"/>
    <xf numFmtId="0" fontId="11" fillId="0" borderId="3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 readingOrder="1"/>
    </xf>
    <xf numFmtId="0" fontId="11" fillId="0" borderId="8" xfId="0" applyFont="1" applyBorder="1" applyAlignment="1">
      <alignment horizontal="center" vertical="center" wrapText="1" readingOrder="1"/>
    </xf>
    <xf numFmtId="0" fontId="11" fillId="0" borderId="25" xfId="0" applyFont="1" applyBorder="1" applyAlignment="1">
      <alignment horizontal="center" vertical="center" wrapText="1" readingOrder="1"/>
    </xf>
    <xf numFmtId="0" fontId="10" fillId="2" borderId="20" xfId="0" applyFont="1" applyFill="1" applyBorder="1" applyAlignment="1">
      <alignment horizontal="center" vertical="center" wrapText="1" readingOrder="1"/>
    </xf>
    <xf numFmtId="0" fontId="13" fillId="2" borderId="20" xfId="0" applyFont="1" applyFill="1" applyBorder="1" applyAlignment="1">
      <alignment horizontal="center" vertical="center" wrapText="1" readingOrder="1"/>
    </xf>
    <xf numFmtId="0" fontId="10" fillId="2" borderId="29" xfId="0" applyFont="1" applyFill="1" applyBorder="1" applyAlignment="1">
      <alignment horizontal="center" vertical="center" wrapText="1" readingOrder="1"/>
    </xf>
    <xf numFmtId="0" fontId="13" fillId="2" borderId="23" xfId="0" applyFont="1" applyFill="1" applyBorder="1" applyAlignment="1">
      <alignment horizontal="center" vertical="center" wrapText="1" readingOrder="1"/>
    </xf>
    <xf numFmtId="0" fontId="11" fillId="0" borderId="3" xfId="0" applyFont="1" applyFill="1" applyBorder="1" applyAlignment="1">
      <alignment horizontal="center" vertical="center" wrapText="1" readingOrder="1"/>
    </xf>
    <xf numFmtId="0" fontId="11" fillId="0" borderId="1" xfId="0" applyFont="1" applyFill="1" applyBorder="1" applyAlignment="1">
      <alignment horizontal="center" vertical="center" wrapText="1" readingOrder="1"/>
    </xf>
    <xf numFmtId="0" fontId="11" fillId="0" borderId="7" xfId="0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horizontal="left" vertical="center" readingOrder="1"/>
    </xf>
    <xf numFmtId="0" fontId="11" fillId="0" borderId="15" xfId="0" applyFont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 vertical="center" wrapText="1" readingOrder="1"/>
    </xf>
    <xf numFmtId="0" fontId="11" fillId="0" borderId="14" xfId="0" applyFont="1" applyBorder="1" applyAlignment="1">
      <alignment horizontal="center" vertical="center" wrapText="1" readingOrder="1"/>
    </xf>
    <xf numFmtId="0" fontId="15" fillId="0" borderId="14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wrapText="1" readingOrder="1"/>
    </xf>
    <xf numFmtId="0" fontId="15" fillId="0" borderId="15" xfId="0" applyFont="1" applyBorder="1" applyAlignment="1">
      <alignment horizontal="center" vertical="center" wrapText="1" readingOrder="1"/>
    </xf>
    <xf numFmtId="0" fontId="15" fillId="0" borderId="9" xfId="0" applyFont="1" applyBorder="1" applyAlignment="1">
      <alignment horizontal="center" vertical="center" wrapText="1" readingOrder="1"/>
    </xf>
    <xf numFmtId="0" fontId="15" fillId="0" borderId="10" xfId="0" applyFont="1" applyBorder="1" applyAlignment="1">
      <alignment horizontal="center" vertical="center" wrapText="1" readingOrder="1"/>
    </xf>
    <xf numFmtId="0" fontId="15" fillId="0" borderId="11" xfId="0" applyFont="1" applyBorder="1" applyAlignment="1">
      <alignment horizontal="center" vertical="center" wrapText="1" readingOrder="1"/>
    </xf>
    <xf numFmtId="0" fontId="15" fillId="0" borderId="4" xfId="0" applyFont="1" applyBorder="1" applyAlignment="1">
      <alignment horizontal="center" vertical="center" wrapText="1" readingOrder="1"/>
    </xf>
    <xf numFmtId="0" fontId="15" fillId="0" borderId="16" xfId="0" applyFont="1" applyBorder="1" applyAlignment="1">
      <alignment horizontal="center" vertical="center" wrapText="1" readingOrder="1"/>
    </xf>
    <xf numFmtId="0" fontId="15" fillId="0" borderId="7" xfId="0" applyFont="1" applyBorder="1" applyAlignment="1">
      <alignment horizontal="center" vertical="center" wrapText="1" readingOrder="1"/>
    </xf>
    <xf numFmtId="0" fontId="15" fillId="0" borderId="8" xfId="0" applyFont="1" applyBorder="1" applyAlignment="1">
      <alignment horizontal="center" vertical="center" wrapText="1" readingOrder="1"/>
    </xf>
    <xf numFmtId="0" fontId="15" fillId="0" borderId="5" xfId="0" applyFont="1" applyBorder="1" applyAlignment="1">
      <alignment horizontal="center" vertical="center" wrapText="1" readingOrder="1"/>
    </xf>
    <xf numFmtId="0" fontId="15" fillId="0" borderId="30" xfId="0" applyFont="1" applyBorder="1" applyAlignment="1">
      <alignment horizontal="center" vertical="center" wrapText="1" readingOrder="1"/>
    </xf>
    <xf numFmtId="0" fontId="16" fillId="2" borderId="20" xfId="0" applyFont="1" applyFill="1" applyBorder="1" applyAlignment="1">
      <alignment horizontal="center" vertical="center" wrapText="1" readingOrder="1"/>
    </xf>
    <xf numFmtId="0" fontId="16" fillId="2" borderId="37" xfId="0" applyFont="1" applyFill="1" applyBorder="1" applyAlignment="1">
      <alignment horizontal="center" vertical="center" wrapText="1" readingOrder="1"/>
    </xf>
    <xf numFmtId="0" fontId="15" fillId="0" borderId="33" xfId="0" applyFont="1" applyBorder="1" applyAlignment="1">
      <alignment horizontal="center" vertical="center" wrapText="1" readingOrder="1"/>
    </xf>
    <xf numFmtId="0" fontId="15" fillId="0" borderId="31" xfId="0" applyFont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6" fillId="0" borderId="0" xfId="0" applyFont="1" applyFill="1"/>
    <xf numFmtId="0" fontId="17" fillId="0" borderId="1" xfId="0" applyFont="1" applyFill="1" applyBorder="1" applyAlignment="1">
      <alignment horizontal="center" vertical="center" wrapText="1" readingOrder="1"/>
    </xf>
    <xf numFmtId="0" fontId="17" fillId="0" borderId="13" xfId="0" applyFont="1" applyFill="1" applyBorder="1" applyAlignment="1">
      <alignment horizontal="center" vertical="center" wrapText="1" readingOrder="1"/>
    </xf>
    <xf numFmtId="0" fontId="17" fillId="0" borderId="9" xfId="0" applyFont="1" applyFill="1" applyBorder="1" applyAlignment="1">
      <alignment horizontal="center" vertical="center" wrapText="1" readingOrder="1"/>
    </xf>
    <xf numFmtId="0" fontId="17" fillId="0" borderId="10" xfId="0" applyFont="1" applyFill="1" applyBorder="1" applyAlignment="1">
      <alignment horizontal="center" vertical="center" wrapText="1" readingOrder="1"/>
    </xf>
    <xf numFmtId="0" fontId="17" fillId="0" borderId="11" xfId="0" applyFont="1" applyFill="1" applyBorder="1" applyAlignment="1">
      <alignment horizontal="center" vertical="center" wrapText="1" readingOrder="1"/>
    </xf>
    <xf numFmtId="0" fontId="11" fillId="0" borderId="14" xfId="0" applyFont="1" applyFill="1" applyBorder="1" applyAlignment="1">
      <alignment horizontal="center" vertical="center" wrapText="1" readingOrder="1"/>
    </xf>
    <xf numFmtId="0" fontId="11" fillId="0" borderId="4" xfId="0" applyFont="1" applyFill="1" applyBorder="1" applyAlignment="1">
      <alignment horizontal="center" vertical="center" wrapText="1" readingOrder="1"/>
    </xf>
    <xf numFmtId="0" fontId="11" fillId="0" borderId="15" xfId="0" applyFont="1" applyFill="1" applyBorder="1" applyAlignment="1">
      <alignment horizontal="center" vertical="center" wrapText="1" readingOrder="1"/>
    </xf>
    <xf numFmtId="0" fontId="11" fillId="0" borderId="5" xfId="0" applyFont="1" applyFill="1" applyBorder="1" applyAlignment="1">
      <alignment horizontal="center" vertical="center" wrapText="1" readingOrder="1"/>
    </xf>
    <xf numFmtId="0" fontId="11" fillId="0" borderId="16" xfId="0" applyFont="1" applyFill="1" applyBorder="1" applyAlignment="1">
      <alignment horizontal="center" vertical="center" wrapText="1" readingOrder="1"/>
    </xf>
    <xf numFmtId="0" fontId="11" fillId="0" borderId="8" xfId="0" applyFont="1" applyFill="1" applyBorder="1" applyAlignment="1">
      <alignment horizontal="center" vertical="center" wrapText="1" readingOrder="1"/>
    </xf>
    <xf numFmtId="0" fontId="11" fillId="0" borderId="17" xfId="0" applyFont="1" applyFill="1" applyBorder="1" applyAlignment="1">
      <alignment horizontal="center" vertical="center" wrapText="1" readingOrder="1"/>
    </xf>
    <xf numFmtId="0" fontId="11" fillId="0" borderId="12" xfId="0" applyFont="1" applyFill="1" applyBorder="1" applyAlignment="1">
      <alignment horizontal="center" vertical="center" wrapText="1" readingOrder="1"/>
    </xf>
    <xf numFmtId="0" fontId="11" fillId="0" borderId="13" xfId="0" applyFont="1" applyFill="1" applyBorder="1" applyAlignment="1">
      <alignment horizontal="center" vertical="center" wrapText="1" readingOrder="1"/>
    </xf>
    <xf numFmtId="0" fontId="11" fillId="0" borderId="18" xfId="0" applyFont="1" applyFill="1" applyBorder="1" applyAlignment="1">
      <alignment horizontal="center" vertical="center" wrapText="1" readingOrder="1"/>
    </xf>
    <xf numFmtId="0" fontId="11" fillId="0" borderId="25" xfId="0" applyFont="1" applyFill="1" applyBorder="1" applyAlignment="1">
      <alignment horizontal="center" vertical="center" wrapText="1" readingOrder="1"/>
    </xf>
    <xf numFmtId="0" fontId="11" fillId="0" borderId="39" xfId="0" applyFont="1" applyFill="1" applyBorder="1" applyAlignment="1">
      <alignment horizontal="center" vertical="center" wrapText="1" readingOrder="1"/>
    </xf>
    <xf numFmtId="0" fontId="11" fillId="0" borderId="17" xfId="0" applyFont="1" applyBorder="1" applyAlignment="1">
      <alignment horizontal="center" vertical="center" wrapText="1" readingOrder="1"/>
    </xf>
    <xf numFmtId="0" fontId="11" fillId="0" borderId="12" xfId="0" applyFont="1" applyBorder="1" applyAlignment="1">
      <alignment horizontal="center" vertical="center" wrapText="1" readingOrder="1"/>
    </xf>
    <xf numFmtId="0" fontId="11" fillId="0" borderId="18" xfId="0" applyFont="1" applyBorder="1" applyAlignment="1">
      <alignment horizontal="center" vertical="center" wrapText="1" readingOrder="1"/>
    </xf>
    <xf numFmtId="0" fontId="11" fillId="0" borderId="13" xfId="0" applyFont="1" applyBorder="1" applyAlignment="1">
      <alignment horizontal="center" vertical="center" wrapText="1" readingOrder="1"/>
    </xf>
    <xf numFmtId="0" fontId="11" fillId="0" borderId="39" xfId="0" applyFont="1" applyBorder="1" applyAlignment="1">
      <alignment horizontal="center" vertical="center" wrapText="1" readingOrder="1"/>
    </xf>
    <xf numFmtId="14" fontId="17" fillId="0" borderId="1" xfId="0" applyNumberFormat="1" applyFont="1" applyFill="1" applyBorder="1" applyAlignment="1">
      <alignment horizontal="center" vertical="center" wrapText="1" readingOrder="1"/>
    </xf>
    <xf numFmtId="0" fontId="19" fillId="0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readingOrder="1"/>
    </xf>
    <xf numFmtId="0" fontId="16" fillId="2" borderId="21" xfId="0" applyFont="1" applyFill="1" applyBorder="1" applyAlignment="1">
      <alignment horizontal="center" vertical="center" wrapText="1" readingOrder="1"/>
    </xf>
    <xf numFmtId="0" fontId="16" fillId="2" borderId="38" xfId="0" applyFont="1" applyFill="1" applyBorder="1" applyAlignment="1">
      <alignment horizontal="center" vertical="center" wrapText="1" readingOrder="1"/>
    </xf>
    <xf numFmtId="0" fontId="16" fillId="2" borderId="20" xfId="0" applyFont="1" applyFill="1" applyBorder="1" applyAlignment="1">
      <alignment horizontal="center" vertical="center" wrapText="1" readingOrder="1"/>
    </xf>
    <xf numFmtId="0" fontId="16" fillId="2" borderId="37" xfId="0" applyFont="1" applyFill="1" applyBorder="1" applyAlignment="1">
      <alignment horizontal="center" vertical="center" wrapText="1" readingOrder="1"/>
    </xf>
    <xf numFmtId="0" fontId="16" fillId="2" borderId="19" xfId="0" applyFont="1" applyFill="1" applyBorder="1" applyAlignment="1">
      <alignment horizontal="center" vertical="center" wrapText="1" readingOrder="1"/>
    </xf>
    <xf numFmtId="0" fontId="16" fillId="2" borderId="36" xfId="0" applyFont="1" applyFill="1" applyBorder="1" applyAlignment="1">
      <alignment horizontal="center" vertical="center" wrapText="1" readingOrder="1"/>
    </xf>
    <xf numFmtId="0" fontId="15" fillId="0" borderId="26" xfId="0" applyFont="1" applyBorder="1" applyAlignment="1">
      <alignment horizontal="center" vertical="center" wrapText="1" readingOrder="1"/>
    </xf>
    <xf numFmtId="0" fontId="15" fillId="0" borderId="27" xfId="0" applyFont="1" applyBorder="1" applyAlignment="1">
      <alignment horizontal="center" vertical="center" wrapText="1" readingOrder="1"/>
    </xf>
    <xf numFmtId="0" fontId="15" fillId="0" borderId="28" xfId="0" applyFont="1" applyBorder="1" applyAlignment="1">
      <alignment horizontal="center" vertical="center" wrapText="1" readingOrder="1"/>
    </xf>
    <xf numFmtId="0" fontId="15" fillId="0" borderId="32" xfId="0" applyFont="1" applyBorder="1" applyAlignment="1">
      <alignment horizontal="center" vertical="center" wrapText="1" readingOrder="1"/>
    </xf>
    <xf numFmtId="0" fontId="15" fillId="0" borderId="40" xfId="0" applyFont="1" applyBorder="1" applyAlignment="1">
      <alignment horizontal="center" vertical="center" wrapText="1" readingOrder="1"/>
    </xf>
    <xf numFmtId="0" fontId="15" fillId="0" borderId="41" xfId="0" applyFont="1" applyBorder="1" applyAlignment="1">
      <alignment horizontal="center" vertical="center" wrapText="1" readingOrder="1"/>
    </xf>
    <xf numFmtId="0" fontId="15" fillId="0" borderId="42" xfId="0" applyFont="1" applyBorder="1" applyAlignment="1">
      <alignment horizontal="center" vertical="center" wrapText="1" readingOrder="1"/>
    </xf>
    <xf numFmtId="0" fontId="15" fillId="0" borderId="2" xfId="0" applyFont="1" applyBorder="1" applyAlignment="1">
      <alignment horizontal="center" vertical="center" wrapText="1" readingOrder="1"/>
    </xf>
    <xf numFmtId="0" fontId="15" fillId="0" borderId="6" xfId="0" applyFont="1" applyBorder="1" applyAlignment="1">
      <alignment horizontal="center" vertical="center" wrapText="1" readingOrder="1"/>
    </xf>
    <xf numFmtId="0" fontId="15" fillId="0" borderId="44" xfId="0" applyFont="1" applyBorder="1" applyAlignment="1">
      <alignment horizontal="center" vertical="center" wrapText="1" readingOrder="1"/>
    </xf>
    <xf numFmtId="0" fontId="15" fillId="0" borderId="40" xfId="0" applyFont="1" applyBorder="1" applyAlignment="1">
      <alignment horizontal="center" vertical="center" readingOrder="1"/>
    </xf>
    <xf numFmtId="0" fontId="15" fillId="0" borderId="42" xfId="0" applyFont="1" applyBorder="1" applyAlignment="1">
      <alignment horizontal="center" vertical="center" readingOrder="1"/>
    </xf>
    <xf numFmtId="0" fontId="13" fillId="2" borderId="20" xfId="0" applyFont="1" applyFill="1" applyBorder="1" applyAlignment="1">
      <alignment horizontal="center" vertical="center" wrapText="1" readingOrder="1"/>
    </xf>
    <xf numFmtId="0" fontId="13" fillId="2" borderId="23" xfId="0" applyFont="1" applyFill="1" applyBorder="1" applyAlignment="1">
      <alignment horizontal="center" vertical="center" wrapText="1" readingOrder="1"/>
    </xf>
    <xf numFmtId="0" fontId="9" fillId="0" borderId="33" xfId="0" applyFont="1" applyBorder="1" applyAlignment="1">
      <alignment horizontal="center" vertical="center" readingOrder="1"/>
    </xf>
    <xf numFmtId="0" fontId="9" fillId="0" borderId="34" xfId="0" applyFont="1" applyBorder="1" applyAlignment="1">
      <alignment horizontal="center" vertical="center" readingOrder="1"/>
    </xf>
    <xf numFmtId="0" fontId="9" fillId="0" borderId="35" xfId="0" applyFont="1" applyBorder="1" applyAlignment="1">
      <alignment horizontal="center" vertical="center" readingOrder="1"/>
    </xf>
    <xf numFmtId="0" fontId="13" fillId="2" borderId="21" xfId="0" applyFont="1" applyFill="1" applyBorder="1" applyAlignment="1">
      <alignment horizontal="center" vertical="center" wrapText="1" readingOrder="1"/>
    </xf>
    <xf numFmtId="0" fontId="13" fillId="2" borderId="24" xfId="0" applyFont="1" applyFill="1" applyBorder="1" applyAlignment="1">
      <alignment horizontal="center" vertical="center" wrapText="1" readingOrder="1"/>
    </xf>
    <xf numFmtId="0" fontId="13" fillId="2" borderId="19" xfId="0" applyFont="1" applyFill="1" applyBorder="1" applyAlignment="1">
      <alignment horizontal="center" vertical="center" wrapText="1" readingOrder="1"/>
    </xf>
    <xf numFmtId="0" fontId="13" fillId="2" borderId="22" xfId="0" applyFont="1" applyFill="1" applyBorder="1" applyAlignment="1">
      <alignment horizontal="center" vertical="center" wrapText="1" readingOrder="1"/>
    </xf>
    <xf numFmtId="0" fontId="17" fillId="0" borderId="12" xfId="0" applyFont="1" applyFill="1" applyBorder="1" applyAlignment="1">
      <alignment horizontal="center" vertical="center" wrapText="1" readingOrder="1"/>
    </xf>
    <xf numFmtId="0" fontId="17" fillId="0" borderId="13" xfId="0" applyFont="1" applyFill="1" applyBorder="1" applyAlignment="1">
      <alignment horizontal="center" vertical="center" wrapText="1" readingOrder="1"/>
    </xf>
    <xf numFmtId="0" fontId="17" fillId="0" borderId="43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 wrapText="1" readingOrder="1"/>
    </xf>
    <xf numFmtId="0" fontId="11" fillId="0" borderId="28" xfId="0" applyFont="1" applyBorder="1" applyAlignment="1">
      <alignment horizontal="center" vertical="center" wrapText="1" readingOrder="1"/>
    </xf>
    <xf numFmtId="0" fontId="11" fillId="0" borderId="41" xfId="0" applyFont="1" applyBorder="1" applyAlignment="1">
      <alignment horizontal="center" vertical="center" wrapText="1" readingOrder="1"/>
    </xf>
    <xf numFmtId="0" fontId="11" fillId="0" borderId="42" xfId="0" applyFont="1" applyBorder="1" applyAlignment="1">
      <alignment horizontal="center" vertical="center" wrapText="1" readingOrder="1"/>
    </xf>
    <xf numFmtId="0" fontId="12" fillId="0" borderId="26" xfId="0" applyFont="1" applyBorder="1" applyAlignment="1">
      <alignment horizontal="center" vertical="center" wrapText="1" readingOrder="1"/>
    </xf>
    <xf numFmtId="0" fontId="12" fillId="0" borderId="27" xfId="0" applyFont="1" applyBorder="1" applyAlignment="1">
      <alignment horizontal="center" vertical="center" wrapText="1" readingOrder="1"/>
    </xf>
    <xf numFmtId="0" fontId="12" fillId="0" borderId="28" xfId="0" applyFont="1" applyBorder="1" applyAlignment="1">
      <alignment horizontal="center" vertical="center" wrapText="1" readingOrder="1"/>
    </xf>
    <xf numFmtId="0" fontId="11" fillId="0" borderId="26" xfId="0" applyFont="1" applyBorder="1" applyAlignment="1">
      <alignment horizontal="center" vertical="center" wrapText="1" readingOrder="1"/>
    </xf>
    <xf numFmtId="0" fontId="11" fillId="0" borderId="40" xfId="0" applyFont="1" applyFill="1" applyBorder="1" applyAlignment="1">
      <alignment horizontal="center" vertical="center" wrapText="1" readingOrder="1"/>
    </xf>
    <xf numFmtId="0" fontId="11" fillId="0" borderId="41" xfId="0" applyFont="1" applyFill="1" applyBorder="1" applyAlignment="1">
      <alignment horizontal="center" vertical="center" wrapText="1" readingOrder="1"/>
    </xf>
    <xf numFmtId="0" fontId="11" fillId="0" borderId="42" xfId="0" applyFont="1" applyFill="1" applyBorder="1" applyAlignment="1">
      <alignment horizontal="center" vertical="center" wrapText="1" readingOrder="1"/>
    </xf>
    <xf numFmtId="0" fontId="11" fillId="0" borderId="40" xfId="0" applyFont="1" applyBorder="1" applyAlignment="1">
      <alignment horizontal="center" vertical="center" wrapText="1" readingOrder="1"/>
    </xf>
    <xf numFmtId="0" fontId="8" fillId="0" borderId="40" xfId="0" applyFont="1" applyBorder="1" applyAlignment="1">
      <alignment horizontal="center" vertical="center" wrapText="1" readingOrder="1"/>
    </xf>
    <xf numFmtId="0" fontId="8" fillId="0" borderId="41" xfId="0" applyFont="1" applyBorder="1" applyAlignment="1">
      <alignment horizontal="center" vertical="center" wrapText="1" readingOrder="1"/>
    </xf>
    <xf numFmtId="0" fontId="8" fillId="0" borderId="42" xfId="0" applyFont="1" applyBorder="1" applyAlignment="1">
      <alignment horizontal="center" vertical="center" wrapText="1" readingOrder="1"/>
    </xf>
    <xf numFmtId="0" fontId="11" fillId="0" borderId="26" xfId="0" applyFont="1" applyBorder="1" applyAlignment="1">
      <alignment horizontal="center" vertical="center" readingOrder="1"/>
    </xf>
    <xf numFmtId="0" fontId="11" fillId="0" borderId="27" xfId="0" applyFont="1" applyBorder="1" applyAlignment="1">
      <alignment horizontal="center" vertical="center" readingOrder="1"/>
    </xf>
    <xf numFmtId="0" fontId="11" fillId="0" borderId="28" xfId="0" applyFont="1" applyBorder="1" applyAlignment="1">
      <alignment horizontal="center" vertical="center" readingOrder="1"/>
    </xf>
    <xf numFmtId="0" fontId="11" fillId="0" borderId="40" xfId="0" applyFont="1" applyBorder="1" applyAlignment="1">
      <alignment horizontal="center" vertical="center" readingOrder="1"/>
    </xf>
    <xf numFmtId="0" fontId="11" fillId="0" borderId="41" xfId="0" applyFont="1" applyBorder="1" applyAlignment="1">
      <alignment horizontal="center" vertical="center" readingOrder="1"/>
    </xf>
    <xf numFmtId="0" fontId="11" fillId="0" borderId="42" xfId="0" applyFont="1" applyBorder="1" applyAlignment="1">
      <alignment horizontal="center" vertical="center" readingOrder="1"/>
    </xf>
  </cellXfs>
  <cellStyles count="3">
    <cellStyle name="Milliers 4" xfId="1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K83"/>
  <sheetViews>
    <sheetView zoomScale="48" zoomScaleNormal="48" workbookViewId="0">
      <selection activeCell="K77" sqref="K77"/>
    </sheetView>
  </sheetViews>
  <sheetFormatPr baseColWidth="10" defaultColWidth="9.140625" defaultRowHeight="15" x14ac:dyDescent="0.25"/>
  <cols>
    <col min="1" max="1" width="9.28515625" bestFit="1" customWidth="1"/>
    <col min="2" max="2" width="28.7109375" customWidth="1"/>
    <col min="3" max="3" width="41.5703125" customWidth="1"/>
    <col min="4" max="4" width="32.7109375" customWidth="1"/>
    <col min="5" max="5" width="47.28515625" customWidth="1"/>
    <col min="6" max="6" width="20.42578125" customWidth="1"/>
    <col min="7" max="7" width="23.5703125" customWidth="1"/>
    <col min="8" max="8" width="30.140625" customWidth="1"/>
    <col min="9" max="9" width="22.7109375" customWidth="1"/>
    <col min="10" max="10" width="38.85546875" customWidth="1"/>
    <col min="11" max="11" width="23.85546875" customWidth="1"/>
    <col min="12" max="12" width="36.7109375" customWidth="1"/>
    <col min="13" max="13" width="31.7109375" customWidth="1"/>
    <col min="14" max="14" width="22.7109375" customWidth="1"/>
    <col min="15" max="15" width="25.7109375" customWidth="1"/>
    <col min="16" max="16" width="27.7109375" bestFit="1" customWidth="1"/>
    <col min="22" max="22" width="19.85546875" customWidth="1"/>
  </cols>
  <sheetData>
    <row r="1" spans="1:9" x14ac:dyDescent="0.25">
      <c r="A1" s="5" t="s">
        <v>22</v>
      </c>
      <c r="B1" s="6"/>
    </row>
    <row r="2" spans="1:9" x14ac:dyDescent="0.25">
      <c r="A2" s="5" t="s">
        <v>23</v>
      </c>
      <c r="B2" s="6"/>
    </row>
    <row r="3" spans="1:9" x14ac:dyDescent="0.25">
      <c r="A3" s="5" t="s">
        <v>21</v>
      </c>
      <c r="B3" s="6"/>
    </row>
    <row r="6" spans="1:9" ht="28.5" x14ac:dyDescent="0.25">
      <c r="B6" s="68" t="s">
        <v>9</v>
      </c>
      <c r="C6" s="68"/>
      <c r="D6" s="68"/>
      <c r="E6" s="68"/>
      <c r="F6" s="68"/>
      <c r="G6" s="68"/>
      <c r="H6" s="68"/>
      <c r="I6" s="68"/>
    </row>
    <row r="7" spans="1:9" ht="15.75" thickBot="1" x14ac:dyDescent="0.3"/>
    <row r="8" spans="1:9" ht="27.75" customHeight="1" x14ac:dyDescent="0.25">
      <c r="B8" s="73" t="s">
        <v>2</v>
      </c>
      <c r="C8" s="71" t="s">
        <v>0</v>
      </c>
      <c r="D8" s="71" t="s">
        <v>1</v>
      </c>
      <c r="E8" s="71" t="s">
        <v>3</v>
      </c>
      <c r="F8" s="38" t="s">
        <v>4</v>
      </c>
      <c r="G8" s="71" t="s">
        <v>6</v>
      </c>
      <c r="H8" s="71" t="s">
        <v>7</v>
      </c>
      <c r="I8" s="69" t="s">
        <v>8</v>
      </c>
    </row>
    <row r="9" spans="1:9" ht="49.5" customHeight="1" thickBot="1" x14ac:dyDescent="0.3">
      <c r="B9" s="74"/>
      <c r="C9" s="72"/>
      <c r="D9" s="72"/>
      <c r="E9" s="72"/>
      <c r="F9" s="39" t="s">
        <v>5</v>
      </c>
      <c r="G9" s="72"/>
      <c r="H9" s="72"/>
      <c r="I9" s="70"/>
    </row>
    <row r="10" spans="1:9" s="2" customFormat="1" ht="73.5" customHeight="1" x14ac:dyDescent="0.25">
      <c r="B10" s="79" t="s">
        <v>24</v>
      </c>
      <c r="C10" s="26" t="s">
        <v>36</v>
      </c>
      <c r="D10" s="26" t="s">
        <v>42</v>
      </c>
      <c r="E10" s="26" t="s">
        <v>195</v>
      </c>
      <c r="F10" s="26">
        <v>400</v>
      </c>
      <c r="G10" s="26">
        <v>1</v>
      </c>
      <c r="H10" s="26">
        <v>2011</v>
      </c>
      <c r="I10" s="32"/>
    </row>
    <row r="11" spans="1:9" ht="57" customHeight="1" x14ac:dyDescent="0.25">
      <c r="A11" s="2"/>
      <c r="B11" s="80"/>
      <c r="C11" s="27" t="s">
        <v>44</v>
      </c>
      <c r="D11" s="27" t="s">
        <v>42</v>
      </c>
      <c r="E11" s="27" t="s">
        <v>156</v>
      </c>
      <c r="F11" s="27">
        <v>1000</v>
      </c>
      <c r="G11" s="27">
        <v>1</v>
      </c>
      <c r="H11" s="27">
        <v>2009</v>
      </c>
      <c r="I11" s="36"/>
    </row>
    <row r="12" spans="1:9" ht="51.75" customHeight="1" x14ac:dyDescent="0.25">
      <c r="A12" s="2"/>
      <c r="B12" s="80"/>
      <c r="C12" s="27" t="s">
        <v>45</v>
      </c>
      <c r="D12" s="27" t="s">
        <v>42</v>
      </c>
      <c r="E12" s="27" t="s">
        <v>198</v>
      </c>
      <c r="F12" s="27">
        <v>2000</v>
      </c>
      <c r="G12" s="27">
        <v>1</v>
      </c>
      <c r="H12" s="27">
        <v>2013</v>
      </c>
      <c r="I12" s="36"/>
    </row>
    <row r="13" spans="1:9" ht="55.5" customHeight="1" x14ac:dyDescent="0.25">
      <c r="A13" s="2"/>
      <c r="B13" s="80"/>
      <c r="C13" s="27" t="s">
        <v>86</v>
      </c>
      <c r="D13" s="27" t="s">
        <v>42</v>
      </c>
      <c r="E13" s="27" t="s">
        <v>199</v>
      </c>
      <c r="F13" s="27">
        <v>1500</v>
      </c>
      <c r="G13" s="27">
        <v>1</v>
      </c>
      <c r="H13" s="27">
        <v>2019</v>
      </c>
      <c r="I13" s="36"/>
    </row>
    <row r="14" spans="1:9" ht="52.5" customHeight="1" x14ac:dyDescent="0.25">
      <c r="A14" s="2"/>
      <c r="B14" s="80"/>
      <c r="C14" s="27" t="s">
        <v>43</v>
      </c>
      <c r="D14" s="27" t="s">
        <v>42</v>
      </c>
      <c r="E14" s="27" t="s">
        <v>196</v>
      </c>
      <c r="F14" s="27">
        <v>500</v>
      </c>
      <c r="G14" s="27">
        <v>1</v>
      </c>
      <c r="H14" s="27">
        <v>2011</v>
      </c>
      <c r="I14" s="36"/>
    </row>
    <row r="15" spans="1:9" ht="59.25" customHeight="1" thickBot="1" x14ac:dyDescent="0.3">
      <c r="A15" s="2"/>
      <c r="B15" s="81"/>
      <c r="C15" s="34" t="s">
        <v>43</v>
      </c>
      <c r="D15" s="34" t="s">
        <v>42</v>
      </c>
      <c r="E15" s="34" t="s">
        <v>197</v>
      </c>
      <c r="F15" s="34">
        <v>500</v>
      </c>
      <c r="G15" s="34">
        <v>1</v>
      </c>
      <c r="H15" s="34">
        <v>2020</v>
      </c>
      <c r="I15" s="35"/>
    </row>
    <row r="16" spans="1:9" ht="75.75" customHeight="1" thickBot="1" x14ac:dyDescent="0.3">
      <c r="A16" s="2"/>
      <c r="B16" s="40" t="s">
        <v>40</v>
      </c>
      <c r="C16" s="30" t="s">
        <v>46</v>
      </c>
      <c r="D16" s="30" t="s">
        <v>47</v>
      </c>
      <c r="E16" s="30" t="s">
        <v>157</v>
      </c>
      <c r="F16" s="30">
        <v>100</v>
      </c>
      <c r="G16" s="30">
        <v>1</v>
      </c>
      <c r="H16" s="30">
        <v>2007</v>
      </c>
      <c r="I16" s="31"/>
    </row>
    <row r="17" spans="1:9" ht="62.25" customHeight="1" x14ac:dyDescent="0.25">
      <c r="A17" s="2"/>
      <c r="B17" s="79" t="s">
        <v>37</v>
      </c>
      <c r="C17" s="26" t="s">
        <v>48</v>
      </c>
      <c r="D17" s="26" t="s">
        <v>49</v>
      </c>
      <c r="E17" s="26" t="s">
        <v>200</v>
      </c>
      <c r="F17" s="26">
        <v>120</v>
      </c>
      <c r="G17" s="26">
        <v>1</v>
      </c>
      <c r="H17" s="26">
        <v>2004</v>
      </c>
      <c r="I17" s="32"/>
    </row>
    <row r="18" spans="1:9" ht="69" customHeight="1" thickBot="1" x14ac:dyDescent="0.3">
      <c r="A18" s="2"/>
      <c r="B18" s="81"/>
      <c r="C18" s="34" t="s">
        <v>38</v>
      </c>
      <c r="D18" s="34" t="s">
        <v>49</v>
      </c>
      <c r="E18" s="34" t="s">
        <v>158</v>
      </c>
      <c r="F18" s="34">
        <v>250</v>
      </c>
      <c r="G18" s="34">
        <v>1</v>
      </c>
      <c r="H18" s="34">
        <v>2006</v>
      </c>
      <c r="I18" s="35"/>
    </row>
    <row r="19" spans="1:9" ht="67.5" customHeight="1" x14ac:dyDescent="0.25">
      <c r="A19" s="2"/>
      <c r="B19" s="85" t="s">
        <v>133</v>
      </c>
      <c r="C19" s="26" t="s">
        <v>134</v>
      </c>
      <c r="D19" s="26" t="s">
        <v>47</v>
      </c>
      <c r="E19" s="26" t="s">
        <v>176</v>
      </c>
      <c r="F19" s="26">
        <v>200</v>
      </c>
      <c r="G19" s="26">
        <v>1</v>
      </c>
      <c r="H19" s="26">
        <v>2011</v>
      </c>
      <c r="I19" s="32"/>
    </row>
    <row r="20" spans="1:9" ht="75.75" customHeight="1" thickBot="1" x14ac:dyDescent="0.3">
      <c r="A20" s="2"/>
      <c r="B20" s="86"/>
      <c r="C20" s="34" t="s">
        <v>135</v>
      </c>
      <c r="D20" s="34" t="s">
        <v>47</v>
      </c>
      <c r="E20" s="34" t="s">
        <v>177</v>
      </c>
      <c r="F20" s="34">
        <v>50</v>
      </c>
      <c r="G20" s="34">
        <v>1</v>
      </c>
      <c r="H20" s="34">
        <v>2011</v>
      </c>
      <c r="I20" s="35"/>
    </row>
    <row r="21" spans="1:9" s="3" customFormat="1" ht="57.75" customHeight="1" x14ac:dyDescent="0.25">
      <c r="A21" s="2"/>
      <c r="B21" s="82" t="s">
        <v>50</v>
      </c>
      <c r="C21" s="26" t="s">
        <v>46</v>
      </c>
      <c r="D21" s="26" t="s">
        <v>47</v>
      </c>
      <c r="E21" s="26" t="s">
        <v>159</v>
      </c>
      <c r="F21" s="26">
        <v>100</v>
      </c>
      <c r="G21" s="26">
        <v>1</v>
      </c>
      <c r="H21" s="26">
        <v>2008</v>
      </c>
      <c r="I21" s="32"/>
    </row>
    <row r="22" spans="1:9" s="3" customFormat="1" ht="67.5" customHeight="1" thickBot="1" x14ac:dyDescent="0.3">
      <c r="A22" s="2"/>
      <c r="B22" s="83"/>
      <c r="C22" s="34" t="s">
        <v>46</v>
      </c>
      <c r="D22" s="34" t="s">
        <v>47</v>
      </c>
      <c r="E22" s="34" t="s">
        <v>160</v>
      </c>
      <c r="F22" s="34">
        <v>100</v>
      </c>
      <c r="G22" s="34">
        <v>1</v>
      </c>
      <c r="H22" s="34">
        <v>2008</v>
      </c>
      <c r="I22" s="35"/>
    </row>
    <row r="23" spans="1:9" ht="64.5" customHeight="1" x14ac:dyDescent="0.25">
      <c r="A23" s="2"/>
      <c r="B23" s="76" t="s">
        <v>27</v>
      </c>
      <c r="C23" s="25" t="s">
        <v>51</v>
      </c>
      <c r="D23" s="26" t="s">
        <v>89</v>
      </c>
      <c r="E23" s="26" t="s">
        <v>161</v>
      </c>
      <c r="F23" s="26">
        <v>70</v>
      </c>
      <c r="G23" s="26">
        <v>1</v>
      </c>
      <c r="H23" s="26">
        <v>2013</v>
      </c>
      <c r="I23" s="32"/>
    </row>
    <row r="24" spans="1:9" ht="63.75" customHeight="1" x14ac:dyDescent="0.25">
      <c r="A24" s="2"/>
      <c r="B24" s="76"/>
      <c r="C24" s="28" t="s">
        <v>52</v>
      </c>
      <c r="D24" s="27" t="s">
        <v>53</v>
      </c>
      <c r="E24" s="27" t="s">
        <v>162</v>
      </c>
      <c r="F24" s="27">
        <v>200</v>
      </c>
      <c r="G24" s="27">
        <v>1</v>
      </c>
      <c r="H24" s="27">
        <v>2013</v>
      </c>
      <c r="I24" s="36"/>
    </row>
    <row r="25" spans="1:9" ht="66.75" customHeight="1" thickBot="1" x14ac:dyDescent="0.3">
      <c r="A25" s="2"/>
      <c r="B25" s="77"/>
      <c r="C25" s="33" t="s">
        <v>52</v>
      </c>
      <c r="D25" s="34" t="s">
        <v>89</v>
      </c>
      <c r="E25" s="34" t="s">
        <v>201</v>
      </c>
      <c r="F25" s="34">
        <v>200</v>
      </c>
      <c r="G25" s="34">
        <v>1</v>
      </c>
      <c r="H25" s="34">
        <v>2020</v>
      </c>
      <c r="I25" s="35"/>
    </row>
    <row r="26" spans="1:9" ht="68.25" customHeight="1" x14ac:dyDescent="0.25">
      <c r="A26" s="2"/>
      <c r="B26" s="37" t="s">
        <v>41</v>
      </c>
      <c r="C26" s="25" t="s">
        <v>36</v>
      </c>
      <c r="D26" s="26" t="s">
        <v>54</v>
      </c>
      <c r="E26" s="26" t="s">
        <v>163</v>
      </c>
      <c r="F26" s="26">
        <v>400</v>
      </c>
      <c r="G26" s="26">
        <v>1</v>
      </c>
      <c r="H26" s="26">
        <v>2019</v>
      </c>
      <c r="I26" s="32"/>
    </row>
    <row r="27" spans="1:9" ht="67.5" customHeight="1" thickBot="1" x14ac:dyDescent="0.3">
      <c r="A27" s="2"/>
      <c r="B27" s="41" t="s">
        <v>132</v>
      </c>
      <c r="C27" s="33" t="s">
        <v>52</v>
      </c>
      <c r="D27" s="34" t="s">
        <v>49</v>
      </c>
      <c r="E27" s="34" t="s">
        <v>164</v>
      </c>
      <c r="F27" s="34">
        <v>200</v>
      </c>
      <c r="G27" s="34">
        <v>1</v>
      </c>
      <c r="H27" s="34">
        <v>2011</v>
      </c>
      <c r="I27" s="35"/>
    </row>
    <row r="28" spans="1:9" ht="66" customHeight="1" x14ac:dyDescent="0.25">
      <c r="A28" s="2"/>
      <c r="B28" s="79" t="s">
        <v>28</v>
      </c>
      <c r="C28" s="25" t="s">
        <v>43</v>
      </c>
      <c r="D28" s="26" t="s">
        <v>54</v>
      </c>
      <c r="E28" s="26" t="s">
        <v>202</v>
      </c>
      <c r="F28" s="26">
        <v>500</v>
      </c>
      <c r="G28" s="26">
        <v>1</v>
      </c>
      <c r="H28" s="26">
        <v>1995</v>
      </c>
      <c r="I28" s="32"/>
    </row>
    <row r="29" spans="1:9" ht="63" customHeight="1" x14ac:dyDescent="0.25">
      <c r="A29" s="2"/>
      <c r="B29" s="80"/>
      <c r="C29" s="28" t="s">
        <v>55</v>
      </c>
      <c r="D29" s="27" t="s">
        <v>54</v>
      </c>
      <c r="E29" s="27" t="s">
        <v>203</v>
      </c>
      <c r="F29" s="27">
        <v>240</v>
      </c>
      <c r="G29" s="27">
        <v>1</v>
      </c>
      <c r="H29" s="27">
        <v>1995</v>
      </c>
      <c r="I29" s="36"/>
    </row>
    <row r="30" spans="1:9" ht="69" customHeight="1" x14ac:dyDescent="0.25">
      <c r="A30" s="2"/>
      <c r="B30" s="80"/>
      <c r="C30" s="28" t="s">
        <v>56</v>
      </c>
      <c r="D30" s="27" t="s">
        <v>54</v>
      </c>
      <c r="E30" s="27" t="s">
        <v>203</v>
      </c>
      <c r="F30" s="27">
        <v>140</v>
      </c>
      <c r="G30" s="27">
        <v>1</v>
      </c>
      <c r="H30" s="27">
        <v>1995</v>
      </c>
      <c r="I30" s="36"/>
    </row>
    <row r="31" spans="1:9" ht="69.75" customHeight="1" thickBot="1" x14ac:dyDescent="0.3">
      <c r="A31" s="2"/>
      <c r="B31" s="81"/>
      <c r="C31" s="33" t="s">
        <v>52</v>
      </c>
      <c r="D31" s="34" t="s">
        <v>54</v>
      </c>
      <c r="E31" s="34" t="s">
        <v>204</v>
      </c>
      <c r="F31" s="34">
        <v>200</v>
      </c>
      <c r="G31" s="34">
        <v>1</v>
      </c>
      <c r="H31" s="34">
        <v>1995</v>
      </c>
      <c r="I31" s="35"/>
    </row>
    <row r="32" spans="1:9" ht="59.25" customHeight="1" x14ac:dyDescent="0.25">
      <c r="A32" s="2"/>
      <c r="B32" s="79" t="s">
        <v>33</v>
      </c>
      <c r="C32" s="25" t="s">
        <v>43</v>
      </c>
      <c r="D32" s="26" t="s">
        <v>61</v>
      </c>
      <c r="E32" s="26" t="s">
        <v>167</v>
      </c>
      <c r="F32" s="26">
        <v>500</v>
      </c>
      <c r="G32" s="26">
        <v>1</v>
      </c>
      <c r="H32" s="26">
        <v>1960</v>
      </c>
      <c r="I32" s="32"/>
    </row>
    <row r="33" spans="1:9" ht="63" customHeight="1" x14ac:dyDescent="0.25">
      <c r="A33" s="2"/>
      <c r="B33" s="80"/>
      <c r="C33" s="28" t="s">
        <v>44</v>
      </c>
      <c r="D33" s="27" t="s">
        <v>47</v>
      </c>
      <c r="E33" s="27" t="s">
        <v>168</v>
      </c>
      <c r="F33" s="27">
        <v>1000</v>
      </c>
      <c r="G33" s="27">
        <v>1</v>
      </c>
      <c r="H33" s="27">
        <v>1993</v>
      </c>
      <c r="I33" s="36"/>
    </row>
    <row r="34" spans="1:9" ht="55.5" customHeight="1" thickBot="1" x14ac:dyDescent="0.3">
      <c r="A34" s="2"/>
      <c r="B34" s="81"/>
      <c r="C34" s="33" t="s">
        <v>44</v>
      </c>
      <c r="D34" s="34" t="s">
        <v>47</v>
      </c>
      <c r="E34" s="34" t="s">
        <v>167</v>
      </c>
      <c r="F34" s="34">
        <v>1000</v>
      </c>
      <c r="G34" s="34">
        <v>1</v>
      </c>
      <c r="H34" s="34">
        <v>2023</v>
      </c>
      <c r="I34" s="35"/>
    </row>
    <row r="35" spans="1:9" ht="55.5" customHeight="1" x14ac:dyDescent="0.25">
      <c r="A35" s="2"/>
      <c r="B35" s="79" t="s">
        <v>85</v>
      </c>
      <c r="C35" s="25" t="s">
        <v>63</v>
      </c>
      <c r="D35" s="26" t="s">
        <v>71</v>
      </c>
      <c r="E35" s="26" t="s">
        <v>190</v>
      </c>
      <c r="F35" s="26">
        <v>300</v>
      </c>
      <c r="G35" s="26">
        <v>1</v>
      </c>
      <c r="H35" s="26">
        <v>2021</v>
      </c>
      <c r="I35" s="32"/>
    </row>
    <row r="36" spans="1:9" ht="57.75" customHeight="1" x14ac:dyDescent="0.25">
      <c r="A36" s="2"/>
      <c r="B36" s="80"/>
      <c r="C36" s="28" t="s">
        <v>46</v>
      </c>
      <c r="D36" s="27" t="s">
        <v>71</v>
      </c>
      <c r="E36" s="27" t="s">
        <v>191</v>
      </c>
      <c r="F36" s="27">
        <v>100</v>
      </c>
      <c r="G36" s="27">
        <v>1</v>
      </c>
      <c r="H36" s="27">
        <v>2021</v>
      </c>
      <c r="I36" s="36"/>
    </row>
    <row r="37" spans="1:9" ht="59.25" customHeight="1" x14ac:dyDescent="0.25">
      <c r="A37" s="2"/>
      <c r="B37" s="80"/>
      <c r="C37" s="28" t="s">
        <v>58</v>
      </c>
      <c r="D37" s="27" t="s">
        <v>71</v>
      </c>
      <c r="E37" s="27" t="s">
        <v>192</v>
      </c>
      <c r="F37" s="27">
        <v>50</v>
      </c>
      <c r="G37" s="27">
        <v>1</v>
      </c>
      <c r="H37" s="27">
        <v>2021</v>
      </c>
      <c r="I37" s="36"/>
    </row>
    <row r="38" spans="1:9" ht="63" customHeight="1" x14ac:dyDescent="0.25">
      <c r="A38" s="2"/>
      <c r="B38" s="80"/>
      <c r="C38" s="28" t="s">
        <v>58</v>
      </c>
      <c r="D38" s="27" t="s">
        <v>71</v>
      </c>
      <c r="E38" s="27" t="s">
        <v>193</v>
      </c>
      <c r="F38" s="27">
        <v>50</v>
      </c>
      <c r="G38" s="27">
        <v>1</v>
      </c>
      <c r="H38" s="27">
        <v>2021</v>
      </c>
      <c r="I38" s="36"/>
    </row>
    <row r="39" spans="1:9" ht="60.75" customHeight="1" x14ac:dyDescent="0.25">
      <c r="A39" s="2"/>
      <c r="B39" s="80"/>
      <c r="C39" s="28" t="s">
        <v>58</v>
      </c>
      <c r="D39" s="27" t="s">
        <v>71</v>
      </c>
      <c r="E39" s="27" t="s">
        <v>194</v>
      </c>
      <c r="F39" s="27">
        <v>50</v>
      </c>
      <c r="G39" s="27">
        <v>1</v>
      </c>
      <c r="H39" s="27">
        <v>2021</v>
      </c>
      <c r="I39" s="36"/>
    </row>
    <row r="40" spans="1:9" ht="60.75" customHeight="1" x14ac:dyDescent="0.25">
      <c r="A40" s="2"/>
      <c r="B40" s="80"/>
      <c r="C40" s="28" t="s">
        <v>58</v>
      </c>
      <c r="D40" s="27" t="s">
        <v>71</v>
      </c>
      <c r="E40" s="27" t="s">
        <v>193</v>
      </c>
      <c r="F40" s="27">
        <v>50</v>
      </c>
      <c r="G40" s="27">
        <v>1</v>
      </c>
      <c r="H40" s="27">
        <v>2021</v>
      </c>
      <c r="I40" s="36"/>
    </row>
    <row r="41" spans="1:9" ht="59.25" customHeight="1" thickBot="1" x14ac:dyDescent="0.3">
      <c r="A41" s="2"/>
      <c r="B41" s="81"/>
      <c r="C41" s="33" t="s">
        <v>58</v>
      </c>
      <c r="D41" s="34" t="s">
        <v>71</v>
      </c>
      <c r="E41" s="34" t="s">
        <v>194</v>
      </c>
      <c r="F41" s="34">
        <v>50</v>
      </c>
      <c r="G41" s="34">
        <v>1</v>
      </c>
      <c r="H41" s="34">
        <v>2021</v>
      </c>
      <c r="I41" s="35"/>
    </row>
    <row r="42" spans="1:9" ht="66" customHeight="1" x14ac:dyDescent="0.25">
      <c r="A42" s="2"/>
      <c r="B42" s="75" t="s">
        <v>34</v>
      </c>
      <c r="C42" s="25" t="s">
        <v>38</v>
      </c>
      <c r="D42" s="26" t="s">
        <v>49</v>
      </c>
      <c r="E42" s="26" t="s">
        <v>166</v>
      </c>
      <c r="F42" s="26">
        <v>250</v>
      </c>
      <c r="G42" s="26">
        <v>1</v>
      </c>
      <c r="H42" s="26">
        <v>1992</v>
      </c>
      <c r="I42" s="32"/>
    </row>
    <row r="43" spans="1:9" ht="71.25" customHeight="1" x14ac:dyDescent="0.25">
      <c r="A43" s="2"/>
      <c r="B43" s="76"/>
      <c r="C43" s="28" t="s">
        <v>46</v>
      </c>
      <c r="D43" s="27" t="s">
        <v>47</v>
      </c>
      <c r="E43" s="27"/>
      <c r="F43" s="27">
        <v>200</v>
      </c>
      <c r="G43" s="27">
        <v>1</v>
      </c>
      <c r="H43" s="27"/>
      <c r="I43" s="36"/>
    </row>
    <row r="44" spans="1:9" ht="71.25" customHeight="1" thickBot="1" x14ac:dyDescent="0.3">
      <c r="A44" s="2"/>
      <c r="B44" s="77"/>
      <c r="C44" s="33" t="s">
        <v>205</v>
      </c>
      <c r="D44" s="34" t="s">
        <v>140</v>
      </c>
      <c r="E44" s="34"/>
      <c r="F44" s="34">
        <v>50</v>
      </c>
      <c r="G44" s="34">
        <v>1</v>
      </c>
      <c r="H44" s="34"/>
      <c r="I44" s="35"/>
    </row>
    <row r="45" spans="1:9" ht="70.5" customHeight="1" x14ac:dyDescent="0.25">
      <c r="A45" s="2"/>
      <c r="B45" s="75" t="s">
        <v>35</v>
      </c>
      <c r="C45" s="25" t="s">
        <v>63</v>
      </c>
      <c r="D45" s="26" t="s">
        <v>42</v>
      </c>
      <c r="E45" s="26" t="s">
        <v>206</v>
      </c>
      <c r="F45" s="26">
        <v>300</v>
      </c>
      <c r="G45" s="26">
        <v>1</v>
      </c>
      <c r="H45" s="26">
        <v>2002</v>
      </c>
      <c r="I45" s="32"/>
    </row>
    <row r="46" spans="1:9" ht="59.25" customHeight="1" x14ac:dyDescent="0.25">
      <c r="A46" s="2"/>
      <c r="B46" s="76"/>
      <c r="C46" s="28" t="s">
        <v>59</v>
      </c>
      <c r="D46" s="27" t="s">
        <v>47</v>
      </c>
      <c r="E46" s="27" t="s">
        <v>207</v>
      </c>
      <c r="F46" s="27">
        <v>80</v>
      </c>
      <c r="G46" s="27">
        <v>1</v>
      </c>
      <c r="H46" s="27">
        <v>1992</v>
      </c>
      <c r="I46" s="36"/>
    </row>
    <row r="47" spans="1:9" ht="63.75" customHeight="1" thickBot="1" x14ac:dyDescent="0.3">
      <c r="A47" s="2"/>
      <c r="B47" s="84"/>
      <c r="C47" s="33" t="s">
        <v>46</v>
      </c>
      <c r="D47" s="34" t="s">
        <v>64</v>
      </c>
      <c r="E47" s="34" t="s">
        <v>169</v>
      </c>
      <c r="F47" s="34">
        <v>100</v>
      </c>
      <c r="G47" s="34">
        <v>1</v>
      </c>
      <c r="H47" s="34">
        <v>2013</v>
      </c>
      <c r="I47" s="35"/>
    </row>
    <row r="48" spans="1:9" ht="63.75" customHeight="1" x14ac:dyDescent="0.25">
      <c r="A48" s="2"/>
      <c r="B48" s="78" t="s">
        <v>147</v>
      </c>
      <c r="C48" s="25" t="s">
        <v>57</v>
      </c>
      <c r="D48" s="26" t="s">
        <v>49</v>
      </c>
      <c r="E48" s="26" t="s">
        <v>165</v>
      </c>
      <c r="F48" s="26">
        <v>150</v>
      </c>
      <c r="G48" s="26">
        <v>1</v>
      </c>
      <c r="H48" s="26">
        <v>2009</v>
      </c>
      <c r="I48" s="32"/>
    </row>
    <row r="49" spans="1:9" ht="63.75" customHeight="1" x14ac:dyDescent="0.25">
      <c r="A49" s="2"/>
      <c r="B49" s="76"/>
      <c r="C49" s="28" t="s">
        <v>58</v>
      </c>
      <c r="D49" s="27" t="s">
        <v>49</v>
      </c>
      <c r="E49" s="27" t="s">
        <v>165</v>
      </c>
      <c r="F49" s="27">
        <v>50</v>
      </c>
      <c r="G49" s="27">
        <v>1</v>
      </c>
      <c r="H49" s="27">
        <v>2009</v>
      </c>
      <c r="I49" s="36"/>
    </row>
    <row r="50" spans="1:9" ht="63.75" customHeight="1" x14ac:dyDescent="0.25">
      <c r="A50" s="2"/>
      <c r="B50" s="76"/>
      <c r="C50" s="28" t="s">
        <v>59</v>
      </c>
      <c r="D50" s="27" t="s">
        <v>60</v>
      </c>
      <c r="E50" s="27" t="s">
        <v>165</v>
      </c>
      <c r="F50" s="27">
        <v>80</v>
      </c>
      <c r="G50" s="27">
        <v>1</v>
      </c>
      <c r="H50" s="27">
        <v>2009</v>
      </c>
      <c r="I50" s="36"/>
    </row>
    <row r="51" spans="1:9" ht="63.75" customHeight="1" thickBot="1" x14ac:dyDescent="0.3">
      <c r="A51" s="2"/>
      <c r="B51" s="77"/>
      <c r="C51" s="33" t="s">
        <v>46</v>
      </c>
      <c r="D51" s="34" t="s">
        <v>49</v>
      </c>
      <c r="E51" s="34" t="s">
        <v>208</v>
      </c>
      <c r="F51" s="34">
        <v>100</v>
      </c>
      <c r="G51" s="34">
        <v>1</v>
      </c>
      <c r="H51" s="34"/>
      <c r="I51" s="35"/>
    </row>
    <row r="52" spans="1:9" ht="66.75" customHeight="1" thickBot="1" x14ac:dyDescent="0.3">
      <c r="A52" s="2"/>
      <c r="B52" s="29" t="s">
        <v>65</v>
      </c>
      <c r="C52" s="30" t="s">
        <v>63</v>
      </c>
      <c r="D52" s="30" t="s">
        <v>47</v>
      </c>
      <c r="E52" s="30" t="s">
        <v>170</v>
      </c>
      <c r="F52" s="30">
        <v>300</v>
      </c>
      <c r="G52" s="30">
        <v>1</v>
      </c>
      <c r="H52" s="30">
        <v>2008</v>
      </c>
      <c r="I52" s="31"/>
    </row>
    <row r="53" spans="1:9" ht="70.5" customHeight="1" x14ac:dyDescent="0.25">
      <c r="A53" s="2"/>
      <c r="B53" s="76" t="s">
        <v>39</v>
      </c>
      <c r="C53" s="25" t="s">
        <v>46</v>
      </c>
      <c r="D53" s="26" t="s">
        <v>47</v>
      </c>
      <c r="E53" s="26"/>
      <c r="F53" s="26">
        <v>100</v>
      </c>
      <c r="G53" s="26">
        <v>1</v>
      </c>
      <c r="H53" s="26">
        <v>2013</v>
      </c>
      <c r="I53" s="32"/>
    </row>
    <row r="54" spans="1:9" ht="78.75" customHeight="1" x14ac:dyDescent="0.25">
      <c r="A54" s="2"/>
      <c r="B54" s="76"/>
      <c r="C54" s="28" t="s">
        <v>38</v>
      </c>
      <c r="D54" s="27" t="s">
        <v>68</v>
      </c>
      <c r="E54" s="27" t="s">
        <v>172</v>
      </c>
      <c r="F54" s="27">
        <v>250</v>
      </c>
      <c r="G54" s="27">
        <v>1</v>
      </c>
      <c r="H54" s="27">
        <v>2006</v>
      </c>
      <c r="I54" s="36"/>
    </row>
    <row r="55" spans="1:9" ht="75" customHeight="1" thickBot="1" x14ac:dyDescent="0.3">
      <c r="A55" s="2"/>
      <c r="B55" s="84"/>
      <c r="C55" s="33" t="s">
        <v>69</v>
      </c>
      <c r="D55" s="34" t="s">
        <v>70</v>
      </c>
      <c r="E55" s="34" t="s">
        <v>173</v>
      </c>
      <c r="F55" s="34">
        <v>174</v>
      </c>
      <c r="G55" s="34">
        <v>1</v>
      </c>
      <c r="H55" s="34">
        <v>2006</v>
      </c>
      <c r="I55" s="35"/>
    </row>
    <row r="56" spans="1:9" ht="75" customHeight="1" x14ac:dyDescent="0.25">
      <c r="A56" s="2"/>
      <c r="B56" s="78" t="s">
        <v>144</v>
      </c>
      <c r="C56" s="25" t="s">
        <v>46</v>
      </c>
      <c r="D56" s="26" t="s">
        <v>71</v>
      </c>
      <c r="E56" s="26" t="s">
        <v>174</v>
      </c>
      <c r="F56" s="26">
        <v>100</v>
      </c>
      <c r="G56" s="26">
        <v>1</v>
      </c>
      <c r="H56" s="26">
        <v>2007</v>
      </c>
      <c r="I56" s="32"/>
    </row>
    <row r="57" spans="1:9" ht="75" customHeight="1" x14ac:dyDescent="0.25">
      <c r="A57" s="2"/>
      <c r="B57" s="76"/>
      <c r="C57" s="28" t="s">
        <v>46</v>
      </c>
      <c r="D57" s="27" t="s">
        <v>71</v>
      </c>
      <c r="E57" s="27" t="s">
        <v>171</v>
      </c>
      <c r="F57" s="27">
        <v>100</v>
      </c>
      <c r="G57" s="27">
        <v>1</v>
      </c>
      <c r="H57" s="27">
        <v>2013</v>
      </c>
      <c r="I57" s="36"/>
    </row>
    <row r="58" spans="1:9" ht="75" customHeight="1" thickBot="1" x14ac:dyDescent="0.3">
      <c r="A58" s="2"/>
      <c r="B58" s="77"/>
      <c r="C58" s="33" t="s">
        <v>46</v>
      </c>
      <c r="D58" s="34" t="s">
        <v>131</v>
      </c>
      <c r="E58" s="34" t="s">
        <v>171</v>
      </c>
      <c r="F58" s="34">
        <v>100</v>
      </c>
      <c r="G58" s="34">
        <v>1</v>
      </c>
      <c r="H58" s="34">
        <v>2023</v>
      </c>
      <c r="I58" s="35"/>
    </row>
    <row r="59" spans="1:9" ht="63.75" customHeight="1" thickBot="1" x14ac:dyDescent="0.3">
      <c r="A59" s="2"/>
      <c r="B59" s="75" t="s">
        <v>72</v>
      </c>
      <c r="C59" s="25" t="s">
        <v>58</v>
      </c>
      <c r="D59" s="34" t="s">
        <v>54</v>
      </c>
      <c r="E59" s="26"/>
      <c r="F59" s="26">
        <v>50</v>
      </c>
      <c r="G59" s="26">
        <v>1</v>
      </c>
      <c r="H59" s="26">
        <v>2009</v>
      </c>
      <c r="I59" s="32"/>
    </row>
    <row r="60" spans="1:9" ht="66" customHeight="1" thickBot="1" x14ac:dyDescent="0.3">
      <c r="A60" s="2"/>
      <c r="B60" s="77"/>
      <c r="C60" s="33" t="s">
        <v>52</v>
      </c>
      <c r="D60" s="34" t="s">
        <v>54</v>
      </c>
      <c r="E60" s="34" t="s">
        <v>175</v>
      </c>
      <c r="F60" s="34">
        <v>240</v>
      </c>
      <c r="G60" s="34">
        <v>1</v>
      </c>
      <c r="H60" s="34">
        <v>2009</v>
      </c>
      <c r="I60" s="35"/>
    </row>
    <row r="61" spans="1:9" s="3" customFormat="1" ht="51" customHeight="1" x14ac:dyDescent="0.25">
      <c r="A61" s="2"/>
      <c r="B61" s="75" t="s">
        <v>30</v>
      </c>
      <c r="C61" s="25" t="s">
        <v>57</v>
      </c>
      <c r="D61" s="26" t="s">
        <v>47</v>
      </c>
      <c r="E61" s="26" t="s">
        <v>209</v>
      </c>
      <c r="F61" s="26">
        <v>150</v>
      </c>
      <c r="G61" s="26">
        <v>1</v>
      </c>
      <c r="H61" s="26">
        <v>1996</v>
      </c>
      <c r="I61" s="32"/>
    </row>
    <row r="62" spans="1:9" s="3" customFormat="1" ht="60.75" customHeight="1" x14ac:dyDescent="0.25">
      <c r="A62" s="2"/>
      <c r="B62" s="76"/>
      <c r="C62" s="28" t="s">
        <v>63</v>
      </c>
      <c r="D62" s="27" t="s">
        <v>47</v>
      </c>
      <c r="E62" s="27" t="s">
        <v>210</v>
      </c>
      <c r="F62" s="27">
        <v>300</v>
      </c>
      <c r="G62" s="27">
        <v>1</v>
      </c>
      <c r="H62" s="27">
        <v>1996</v>
      </c>
      <c r="I62" s="36"/>
    </row>
    <row r="63" spans="1:9" s="3" customFormat="1" ht="51" customHeight="1" x14ac:dyDescent="0.25">
      <c r="A63" s="2"/>
      <c r="B63" s="76"/>
      <c r="C63" s="28" t="s">
        <v>74</v>
      </c>
      <c r="D63" s="27" t="s">
        <v>47</v>
      </c>
      <c r="E63" s="27" t="s">
        <v>211</v>
      </c>
      <c r="F63" s="27">
        <v>170</v>
      </c>
      <c r="G63" s="27">
        <v>1</v>
      </c>
      <c r="H63" s="27"/>
      <c r="I63" s="36"/>
    </row>
    <row r="64" spans="1:9" s="3" customFormat="1" ht="62.25" customHeight="1" x14ac:dyDescent="0.25">
      <c r="A64" s="2"/>
      <c r="B64" s="76"/>
      <c r="C64" s="28" t="s">
        <v>75</v>
      </c>
      <c r="D64" s="27" t="s">
        <v>47</v>
      </c>
      <c r="E64" s="27" t="s">
        <v>212</v>
      </c>
      <c r="F64" s="27">
        <v>25</v>
      </c>
      <c r="G64" s="27">
        <v>1</v>
      </c>
      <c r="H64" s="27">
        <v>1996</v>
      </c>
      <c r="I64" s="36"/>
    </row>
    <row r="65" spans="1:11" s="3" customFormat="1" ht="56.25" customHeight="1" thickBot="1" x14ac:dyDescent="0.3">
      <c r="A65" s="2"/>
      <c r="B65" s="77"/>
      <c r="C65" s="33" t="s">
        <v>43</v>
      </c>
      <c r="D65" s="34" t="s">
        <v>47</v>
      </c>
      <c r="E65" s="34" t="s">
        <v>213</v>
      </c>
      <c r="F65" s="34">
        <v>500</v>
      </c>
      <c r="G65" s="34">
        <v>1</v>
      </c>
      <c r="H65" s="34">
        <v>1996</v>
      </c>
      <c r="I65" s="35"/>
    </row>
    <row r="66" spans="1:11" ht="66.75" customHeight="1" x14ac:dyDescent="0.25">
      <c r="A66" s="2"/>
      <c r="B66" s="75" t="s">
        <v>145</v>
      </c>
      <c r="C66" s="25" t="s">
        <v>76</v>
      </c>
      <c r="D66" s="26" t="s">
        <v>47</v>
      </c>
      <c r="E66" s="26" t="s">
        <v>178</v>
      </c>
      <c r="F66" s="26">
        <v>600</v>
      </c>
      <c r="G66" s="26">
        <v>1</v>
      </c>
      <c r="H66" s="26">
        <v>2006</v>
      </c>
      <c r="I66" s="32"/>
    </row>
    <row r="67" spans="1:11" ht="63" customHeight="1" x14ac:dyDescent="0.25">
      <c r="A67" s="2"/>
      <c r="B67" s="76"/>
      <c r="C67" s="28" t="s">
        <v>77</v>
      </c>
      <c r="D67" s="27" t="s">
        <v>47</v>
      </c>
      <c r="E67" s="27"/>
      <c r="F67" s="27" t="s">
        <v>78</v>
      </c>
      <c r="G67" s="27">
        <v>1</v>
      </c>
      <c r="H67" s="27">
        <v>2016</v>
      </c>
      <c r="I67" s="36"/>
    </row>
    <row r="68" spans="1:11" ht="70.5" customHeight="1" x14ac:dyDescent="0.25">
      <c r="A68" s="2"/>
      <c r="B68" s="76"/>
      <c r="C68" s="28" t="s">
        <v>79</v>
      </c>
      <c r="D68" s="27" t="s">
        <v>47</v>
      </c>
      <c r="E68" s="27" t="s">
        <v>179</v>
      </c>
      <c r="F68" s="27" t="s">
        <v>80</v>
      </c>
      <c r="G68" s="27">
        <v>1</v>
      </c>
      <c r="H68" s="27">
        <v>2012</v>
      </c>
      <c r="I68" s="36"/>
    </row>
    <row r="69" spans="1:11" ht="60.75" customHeight="1" x14ac:dyDescent="0.25">
      <c r="A69" s="2"/>
      <c r="B69" s="76"/>
      <c r="C69" s="28" t="s">
        <v>79</v>
      </c>
      <c r="D69" s="27" t="s">
        <v>47</v>
      </c>
      <c r="E69" s="27"/>
      <c r="F69" s="27" t="s">
        <v>80</v>
      </c>
      <c r="G69" s="27">
        <v>1</v>
      </c>
      <c r="H69" s="27">
        <v>2012</v>
      </c>
      <c r="I69" s="36"/>
    </row>
    <row r="70" spans="1:11" ht="65.25" customHeight="1" x14ac:dyDescent="0.25">
      <c r="A70" s="2"/>
      <c r="B70" s="76"/>
      <c r="C70" s="28" t="s">
        <v>77</v>
      </c>
      <c r="D70" s="27" t="s">
        <v>47</v>
      </c>
      <c r="E70" s="27"/>
      <c r="F70" s="27" t="s">
        <v>78</v>
      </c>
      <c r="G70" s="27">
        <v>1</v>
      </c>
      <c r="H70" s="27">
        <v>2012</v>
      </c>
      <c r="I70" s="36"/>
    </row>
    <row r="71" spans="1:11" ht="58.5" customHeight="1" thickBot="1" x14ac:dyDescent="0.3">
      <c r="A71" s="2"/>
      <c r="B71" s="84"/>
      <c r="C71" s="33" t="s">
        <v>77</v>
      </c>
      <c r="D71" s="34" t="s">
        <v>73</v>
      </c>
      <c r="E71" s="34"/>
      <c r="F71" s="34">
        <v>50</v>
      </c>
      <c r="G71" s="34">
        <v>1</v>
      </c>
      <c r="H71" s="34"/>
      <c r="I71" s="35"/>
    </row>
    <row r="72" spans="1:11" ht="76.5" customHeight="1" x14ac:dyDescent="0.25">
      <c r="A72" s="2"/>
      <c r="B72" s="78" t="s">
        <v>146</v>
      </c>
      <c r="C72" s="25" t="s">
        <v>81</v>
      </c>
      <c r="D72" s="26" t="s">
        <v>47</v>
      </c>
      <c r="E72" s="26" t="s">
        <v>180</v>
      </c>
      <c r="F72" s="26" t="s">
        <v>82</v>
      </c>
      <c r="G72" s="26">
        <v>1</v>
      </c>
      <c r="H72" s="26">
        <v>2014</v>
      </c>
      <c r="I72" s="32"/>
    </row>
    <row r="73" spans="1:11" ht="76.5" customHeight="1" thickBot="1" x14ac:dyDescent="0.3">
      <c r="A73" s="2"/>
      <c r="B73" s="77"/>
      <c r="C73" s="33" t="s">
        <v>83</v>
      </c>
      <c r="D73" s="34" t="s">
        <v>47</v>
      </c>
      <c r="E73" s="34" t="s">
        <v>181</v>
      </c>
      <c r="F73" s="34" t="s">
        <v>84</v>
      </c>
      <c r="G73" s="34">
        <v>1</v>
      </c>
      <c r="H73" s="34">
        <v>2014</v>
      </c>
      <c r="I73" s="35"/>
    </row>
    <row r="74" spans="1:11" s="4" customFormat="1" ht="68.25" customHeight="1" x14ac:dyDescent="0.25">
      <c r="A74" s="2"/>
      <c r="B74" s="75" t="s">
        <v>31</v>
      </c>
      <c r="C74" s="25" t="s">
        <v>58</v>
      </c>
      <c r="D74" s="26" t="s">
        <v>47</v>
      </c>
      <c r="E74" s="27" t="s">
        <v>228</v>
      </c>
      <c r="F74" s="26">
        <v>50</v>
      </c>
      <c r="G74" s="26">
        <v>1</v>
      </c>
      <c r="H74" s="26">
        <v>2002</v>
      </c>
      <c r="I74" s="32"/>
      <c r="J74"/>
      <c r="K74"/>
    </row>
    <row r="75" spans="1:11" s="4" customFormat="1" ht="70.5" customHeight="1" x14ac:dyDescent="0.25">
      <c r="A75" s="2"/>
      <c r="B75" s="76"/>
      <c r="C75" s="28" t="s">
        <v>36</v>
      </c>
      <c r="D75" s="27" t="s">
        <v>47</v>
      </c>
      <c r="E75" s="27" t="s">
        <v>182</v>
      </c>
      <c r="F75" s="27">
        <v>400</v>
      </c>
      <c r="G75" s="27">
        <v>1</v>
      </c>
      <c r="H75" s="27">
        <v>2003</v>
      </c>
      <c r="I75" s="36"/>
      <c r="J75"/>
      <c r="K75"/>
    </row>
    <row r="76" spans="1:11" s="4" customFormat="1" ht="68.25" customHeight="1" x14ac:dyDescent="0.25">
      <c r="A76" s="2"/>
      <c r="B76" s="76"/>
      <c r="C76" s="28" t="s">
        <v>57</v>
      </c>
      <c r="D76" s="27" t="s">
        <v>47</v>
      </c>
      <c r="E76" s="27" t="s">
        <v>183</v>
      </c>
      <c r="F76" s="27">
        <v>150</v>
      </c>
      <c r="G76" s="27">
        <v>1</v>
      </c>
      <c r="H76" s="27">
        <v>2002</v>
      </c>
      <c r="I76" s="36"/>
    </row>
    <row r="77" spans="1:11" s="4" customFormat="1" ht="69" customHeight="1" thickBot="1" x14ac:dyDescent="0.3">
      <c r="A77" s="2"/>
      <c r="B77" s="77"/>
      <c r="C77" s="33" t="s">
        <v>67</v>
      </c>
      <c r="D77" s="34" t="s">
        <v>47</v>
      </c>
      <c r="E77" s="67" t="s">
        <v>214</v>
      </c>
      <c r="F77" s="34">
        <v>60</v>
      </c>
      <c r="G77" s="34">
        <v>1</v>
      </c>
      <c r="H77" s="34">
        <v>2002</v>
      </c>
      <c r="I77" s="35"/>
    </row>
    <row r="78" spans="1:11" ht="79.5" customHeight="1" thickBot="1" x14ac:dyDescent="0.3">
      <c r="A78" s="2"/>
      <c r="B78" s="40" t="s">
        <v>87</v>
      </c>
      <c r="C78" s="29" t="s">
        <v>52</v>
      </c>
      <c r="D78" s="30" t="s">
        <v>71</v>
      </c>
      <c r="E78" s="30" t="s">
        <v>184</v>
      </c>
      <c r="F78" s="30">
        <v>200</v>
      </c>
      <c r="G78" s="30">
        <v>1</v>
      </c>
      <c r="H78" s="30">
        <v>2011</v>
      </c>
      <c r="I78" s="31"/>
    </row>
    <row r="79" spans="1:11" ht="53.25" customHeight="1" x14ac:dyDescent="0.25">
      <c r="A79" s="2"/>
      <c r="B79" s="75" t="s">
        <v>88</v>
      </c>
      <c r="C79" s="25" t="s">
        <v>52</v>
      </c>
      <c r="D79" s="26" t="s">
        <v>71</v>
      </c>
      <c r="E79" s="26" t="s">
        <v>185</v>
      </c>
      <c r="F79" s="26">
        <v>200</v>
      </c>
      <c r="G79" s="26">
        <v>1</v>
      </c>
      <c r="H79" s="26">
        <v>2019</v>
      </c>
      <c r="I79" s="32"/>
    </row>
    <row r="80" spans="1:11" ht="60.75" customHeight="1" x14ac:dyDescent="0.25">
      <c r="A80" s="2"/>
      <c r="B80" s="76"/>
      <c r="C80" s="28" t="s">
        <v>46</v>
      </c>
      <c r="D80" s="27" t="s">
        <v>71</v>
      </c>
      <c r="E80" s="27" t="s">
        <v>186</v>
      </c>
      <c r="F80" s="27">
        <v>50</v>
      </c>
      <c r="G80" s="27">
        <v>1</v>
      </c>
      <c r="H80" s="27">
        <v>2019</v>
      </c>
      <c r="I80" s="36"/>
    </row>
    <row r="81" spans="1:9" ht="71.25" customHeight="1" x14ac:dyDescent="0.25">
      <c r="A81" s="2"/>
      <c r="B81" s="76"/>
      <c r="C81" s="28" t="s">
        <v>187</v>
      </c>
      <c r="D81" s="27" t="s">
        <v>90</v>
      </c>
      <c r="E81" s="27" t="s">
        <v>188</v>
      </c>
      <c r="F81" s="27">
        <v>25</v>
      </c>
      <c r="G81" s="27">
        <v>1</v>
      </c>
      <c r="H81" s="27">
        <v>2019</v>
      </c>
      <c r="I81" s="36"/>
    </row>
    <row r="82" spans="1:9" ht="63.75" customHeight="1" thickBot="1" x14ac:dyDescent="0.3">
      <c r="A82" s="2"/>
      <c r="B82" s="77"/>
      <c r="C82" s="33" t="s">
        <v>187</v>
      </c>
      <c r="D82" s="34" t="s">
        <v>90</v>
      </c>
      <c r="E82" s="34" t="s">
        <v>189</v>
      </c>
      <c r="F82" s="34">
        <v>25</v>
      </c>
      <c r="G82" s="34">
        <v>1</v>
      </c>
      <c r="H82" s="34">
        <v>2019</v>
      </c>
      <c r="I82" s="35"/>
    </row>
    <row r="83" spans="1:9" x14ac:dyDescent="0.25">
      <c r="A83" s="2"/>
    </row>
  </sheetData>
  <mergeCells count="27">
    <mergeCell ref="B66:B71"/>
    <mergeCell ref="B72:B73"/>
    <mergeCell ref="B74:B77"/>
    <mergeCell ref="B79:B82"/>
    <mergeCell ref="B53:B55"/>
    <mergeCell ref="B61:B65"/>
    <mergeCell ref="B59:B60"/>
    <mergeCell ref="B42:B44"/>
    <mergeCell ref="B56:B58"/>
    <mergeCell ref="B10:B15"/>
    <mergeCell ref="B17:B18"/>
    <mergeCell ref="B21:B22"/>
    <mergeCell ref="B45:B47"/>
    <mergeCell ref="B23:B25"/>
    <mergeCell ref="B28:B31"/>
    <mergeCell ref="B35:B41"/>
    <mergeCell ref="B48:B51"/>
    <mergeCell ref="B19:B20"/>
    <mergeCell ref="B32:B34"/>
    <mergeCell ref="B6:I6"/>
    <mergeCell ref="I8:I9"/>
    <mergeCell ref="C8:C9"/>
    <mergeCell ref="D8:D9"/>
    <mergeCell ref="B8:B9"/>
    <mergeCell ref="E8:E9"/>
    <mergeCell ref="G8:G9"/>
    <mergeCell ref="H8:H9"/>
  </mergeCells>
  <dataValidations count="1">
    <dataValidation type="date" allowBlank="1" showInputMessage="1" showErrorMessage="1" sqref="H43:H65 H10:H41 H76:H82">
      <formula1>1</formula1>
      <formula2>73415</formula2>
    </dataValidation>
  </dataValidations>
  <pageMargins left="0.7" right="0.7" top="0.75" bottom="0.75" header="0.3" footer="0.3"/>
  <pageSetup paperSize="9" scale="5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J38"/>
  <sheetViews>
    <sheetView zoomScale="62" zoomScaleNormal="62" workbookViewId="0">
      <selection activeCell="E12" sqref="E12"/>
    </sheetView>
  </sheetViews>
  <sheetFormatPr baseColWidth="10" defaultRowHeight="15" x14ac:dyDescent="0.25"/>
  <cols>
    <col min="2" max="2" width="40.7109375" customWidth="1"/>
    <col min="3" max="3" width="29.140625" customWidth="1"/>
    <col min="4" max="4" width="22.85546875" customWidth="1"/>
    <col min="5" max="5" width="35.7109375" customWidth="1"/>
    <col min="6" max="6" width="20.42578125" customWidth="1"/>
    <col min="7" max="7" width="33.140625" customWidth="1"/>
    <col min="8" max="8" width="18.85546875" customWidth="1"/>
    <col min="9" max="9" width="23.42578125" customWidth="1"/>
    <col min="10" max="10" width="29.5703125" customWidth="1"/>
    <col min="11" max="11" width="23.42578125" customWidth="1"/>
    <col min="12" max="12" width="19.85546875" customWidth="1"/>
    <col min="13" max="13" width="27.85546875" customWidth="1"/>
    <col min="14" max="14" width="17.5703125" customWidth="1"/>
    <col min="16" max="16" width="26.28515625" customWidth="1"/>
    <col min="17" max="17" width="22.5703125" customWidth="1"/>
    <col min="20" max="20" width="16.28515625" customWidth="1"/>
    <col min="28" max="28" width="18.28515625" customWidth="1"/>
    <col min="29" max="29" width="18.7109375" customWidth="1"/>
  </cols>
  <sheetData>
    <row r="1" spans="1:10" ht="21.75" customHeight="1" x14ac:dyDescent="0.25">
      <c r="A1" s="1" t="s">
        <v>22</v>
      </c>
    </row>
    <row r="2" spans="1:10" ht="24.75" customHeight="1" x14ac:dyDescent="0.25">
      <c r="A2" s="1" t="s">
        <v>23</v>
      </c>
    </row>
    <row r="3" spans="1:10" ht="24.75" customHeight="1" x14ac:dyDescent="0.25">
      <c r="A3" s="1" t="s">
        <v>21</v>
      </c>
    </row>
    <row r="4" spans="1:10" ht="15.75" thickBot="1" x14ac:dyDescent="0.3">
      <c r="A4" s="1"/>
    </row>
    <row r="5" spans="1:10" ht="54.75" customHeight="1" thickBot="1" x14ac:dyDescent="0.3">
      <c r="B5" s="89" t="s">
        <v>14</v>
      </c>
      <c r="C5" s="90"/>
      <c r="D5" s="90"/>
      <c r="E5" s="90"/>
      <c r="F5" s="90"/>
      <c r="G5" s="90"/>
      <c r="H5" s="90"/>
      <c r="I5" s="90"/>
      <c r="J5" s="91"/>
    </row>
    <row r="6" spans="1:10" ht="29.25" customHeight="1" thickBot="1" x14ac:dyDescent="0.3"/>
    <row r="7" spans="1:10" ht="29.25" customHeight="1" x14ac:dyDescent="0.25">
      <c r="B7" s="94" t="s">
        <v>2</v>
      </c>
      <c r="C7" s="87" t="s">
        <v>0</v>
      </c>
      <c r="D7" s="87" t="s">
        <v>1</v>
      </c>
      <c r="E7" s="87" t="s">
        <v>3</v>
      </c>
      <c r="F7" s="15" t="s">
        <v>10</v>
      </c>
      <c r="G7" s="87" t="s">
        <v>12</v>
      </c>
      <c r="H7" s="87" t="s">
        <v>13</v>
      </c>
      <c r="I7" s="87" t="s">
        <v>7</v>
      </c>
      <c r="J7" s="92" t="s">
        <v>8</v>
      </c>
    </row>
    <row r="8" spans="1:10" ht="45" customHeight="1" thickBot="1" x14ac:dyDescent="0.3">
      <c r="B8" s="95"/>
      <c r="C8" s="88"/>
      <c r="D8" s="88"/>
      <c r="E8" s="88"/>
      <c r="F8" s="17" t="s">
        <v>11</v>
      </c>
      <c r="G8" s="88"/>
      <c r="H8" s="88"/>
      <c r="I8" s="88"/>
      <c r="J8" s="93"/>
    </row>
    <row r="9" spans="1:10" s="43" customFormat="1" ht="54.75" customHeight="1" thickBot="1" x14ac:dyDescent="0.3">
      <c r="B9" s="46" t="s">
        <v>24</v>
      </c>
      <c r="C9" s="47" t="s">
        <v>124</v>
      </c>
      <c r="D9" s="47" t="s">
        <v>101</v>
      </c>
      <c r="E9" s="47" t="s">
        <v>198</v>
      </c>
      <c r="F9" s="47">
        <f>16.5+16.5</f>
        <v>33</v>
      </c>
      <c r="G9" s="47">
        <v>2</v>
      </c>
      <c r="H9" s="47">
        <f>17+17</f>
        <v>34</v>
      </c>
      <c r="I9" s="47">
        <v>2022</v>
      </c>
      <c r="J9" s="48"/>
    </row>
    <row r="10" spans="1:10" s="4" customFormat="1" ht="45.75" customHeight="1" x14ac:dyDescent="0.25">
      <c r="B10" s="45" t="s">
        <v>28</v>
      </c>
      <c r="C10" s="45" t="s">
        <v>32</v>
      </c>
      <c r="D10" s="45" t="s">
        <v>101</v>
      </c>
      <c r="E10" s="45" t="s">
        <v>202</v>
      </c>
      <c r="F10" s="45">
        <f>15+15+50</f>
        <v>80</v>
      </c>
      <c r="G10" s="45" t="s">
        <v>123</v>
      </c>
      <c r="H10" s="45">
        <f>8+4+4</f>
        <v>16</v>
      </c>
      <c r="I10" s="45">
        <v>2021</v>
      </c>
      <c r="J10" s="45"/>
    </row>
    <row r="11" spans="1:10" s="4" customFormat="1" ht="45" customHeight="1" x14ac:dyDescent="0.25">
      <c r="A11" s="43"/>
      <c r="B11" s="44" t="s">
        <v>148</v>
      </c>
      <c r="C11" s="44" t="s">
        <v>124</v>
      </c>
      <c r="D11" s="44" t="s">
        <v>101</v>
      </c>
      <c r="E11" s="44" t="s">
        <v>165</v>
      </c>
      <c r="F11" s="44">
        <f>0.55*2+1.5*2</f>
        <v>4.0999999999999996</v>
      </c>
      <c r="G11" s="44">
        <v>4</v>
      </c>
      <c r="H11" s="44">
        <f>1.61*2+2.77*2</f>
        <v>8.76</v>
      </c>
      <c r="I11" s="44">
        <v>2009</v>
      </c>
      <c r="J11" s="44"/>
    </row>
    <row r="12" spans="1:10" s="4" customFormat="1" ht="37.5" customHeight="1" x14ac:dyDescent="0.25">
      <c r="B12" s="96" t="s">
        <v>109</v>
      </c>
      <c r="C12" s="44" t="s">
        <v>32</v>
      </c>
      <c r="D12" s="44" t="s">
        <v>101</v>
      </c>
      <c r="E12" s="44" t="s">
        <v>121</v>
      </c>
      <c r="F12" s="44">
        <v>7.5</v>
      </c>
      <c r="G12" s="44">
        <v>2</v>
      </c>
      <c r="H12" s="44">
        <v>7</v>
      </c>
      <c r="I12" s="66">
        <v>41456</v>
      </c>
      <c r="J12" s="44"/>
    </row>
    <row r="13" spans="1:10" s="4" customFormat="1" ht="33" customHeight="1" x14ac:dyDescent="0.25">
      <c r="A13" s="43"/>
      <c r="B13" s="98"/>
      <c r="C13" s="44" t="s">
        <v>113</v>
      </c>
      <c r="D13" s="44" t="s">
        <v>101</v>
      </c>
      <c r="E13" s="44" t="s">
        <v>122</v>
      </c>
      <c r="F13" s="44">
        <v>7.5</v>
      </c>
      <c r="G13" s="44">
        <v>2</v>
      </c>
      <c r="H13" s="44">
        <v>7</v>
      </c>
      <c r="I13" s="66">
        <v>41456</v>
      </c>
      <c r="J13" s="44"/>
    </row>
    <row r="14" spans="1:10" s="4" customFormat="1" ht="48.75" customHeight="1" x14ac:dyDescent="0.25">
      <c r="B14" s="97"/>
      <c r="C14" s="44" t="s">
        <v>102</v>
      </c>
      <c r="D14" s="44" t="s">
        <v>101</v>
      </c>
      <c r="E14" s="44" t="s">
        <v>178</v>
      </c>
      <c r="F14" s="44">
        <v>7.5</v>
      </c>
      <c r="G14" s="44">
        <v>2</v>
      </c>
      <c r="H14" s="44">
        <v>3</v>
      </c>
      <c r="I14" s="66">
        <v>43191</v>
      </c>
      <c r="J14" s="44"/>
    </row>
    <row r="15" spans="1:10" s="4" customFormat="1" ht="48" customHeight="1" x14ac:dyDescent="0.25">
      <c r="A15" s="43"/>
      <c r="B15" s="96" t="s">
        <v>30</v>
      </c>
      <c r="C15" s="44" t="s">
        <v>66</v>
      </c>
      <c r="D15" s="44" t="s">
        <v>101</v>
      </c>
      <c r="E15" s="44" t="s">
        <v>213</v>
      </c>
      <c r="F15" s="44">
        <v>20</v>
      </c>
      <c r="G15" s="44">
        <v>2</v>
      </c>
      <c r="H15" s="44">
        <v>13.5</v>
      </c>
      <c r="I15" s="44">
        <v>2001</v>
      </c>
      <c r="J15" s="44"/>
    </row>
    <row r="16" spans="1:10" s="4" customFormat="1" ht="54.75" customHeight="1" x14ac:dyDescent="0.25">
      <c r="B16" s="97"/>
      <c r="C16" s="44" t="s">
        <v>32</v>
      </c>
      <c r="D16" s="44" t="s">
        <v>101</v>
      </c>
      <c r="E16" s="44" t="s">
        <v>210</v>
      </c>
      <c r="F16" s="44">
        <v>13</v>
      </c>
      <c r="G16" s="44">
        <v>2</v>
      </c>
      <c r="H16" s="44">
        <v>5.0999999999999996</v>
      </c>
      <c r="I16" s="44">
        <v>2001</v>
      </c>
      <c r="J16" s="44"/>
    </row>
    <row r="17" spans="1:10" s="4" customFormat="1" ht="53.25" customHeight="1" x14ac:dyDescent="0.25">
      <c r="A17" s="43"/>
      <c r="B17" s="96" t="s">
        <v>103</v>
      </c>
      <c r="C17" s="44" t="s">
        <v>32</v>
      </c>
      <c r="D17" s="44" t="s">
        <v>101</v>
      </c>
      <c r="E17" s="44" t="s">
        <v>182</v>
      </c>
      <c r="F17" s="44">
        <f>10+10</f>
        <v>20</v>
      </c>
      <c r="G17" s="44">
        <v>2</v>
      </c>
      <c r="H17" s="44"/>
      <c r="I17" s="44">
        <v>2020</v>
      </c>
      <c r="J17" s="44"/>
    </row>
    <row r="18" spans="1:10" s="4" customFormat="1" ht="52.5" customHeight="1" x14ac:dyDescent="0.25">
      <c r="B18" s="97"/>
      <c r="C18" s="44" t="s">
        <v>66</v>
      </c>
      <c r="D18" s="44" t="s">
        <v>101</v>
      </c>
      <c r="E18" s="44" t="s">
        <v>214</v>
      </c>
      <c r="F18" s="44">
        <f>30+30</f>
        <v>60</v>
      </c>
      <c r="G18" s="44">
        <v>2</v>
      </c>
      <c r="H18" s="44">
        <f>20+20</f>
        <v>40</v>
      </c>
      <c r="I18" s="44">
        <v>2002</v>
      </c>
      <c r="J18" s="44"/>
    </row>
    <row r="19" spans="1:10" s="4" customFormat="1" ht="37.5" customHeight="1" x14ac:dyDescent="0.25">
      <c r="A19" s="43"/>
      <c r="B19" s="96" t="s">
        <v>85</v>
      </c>
      <c r="C19" s="44" t="s">
        <v>104</v>
      </c>
      <c r="D19" s="44" t="s">
        <v>101</v>
      </c>
      <c r="E19" s="44" t="s">
        <v>215</v>
      </c>
      <c r="F19" s="44">
        <v>6</v>
      </c>
      <c r="G19" s="44">
        <v>2</v>
      </c>
      <c r="H19" s="44">
        <f>1.38+3.88</f>
        <v>5.26</v>
      </c>
      <c r="I19" s="44">
        <v>2021</v>
      </c>
      <c r="J19" s="44"/>
    </row>
    <row r="20" spans="1:10" s="4" customFormat="1" ht="63.75" customHeight="1" x14ac:dyDescent="0.25">
      <c r="B20" s="98"/>
      <c r="C20" s="44" t="s">
        <v>105</v>
      </c>
      <c r="D20" s="44" t="s">
        <v>101</v>
      </c>
      <c r="E20" s="44" t="s">
        <v>216</v>
      </c>
      <c r="F20" s="44">
        <v>6</v>
      </c>
      <c r="G20" s="44">
        <v>2</v>
      </c>
      <c r="H20" s="44">
        <f>0.67+2.36</f>
        <v>3.03</v>
      </c>
      <c r="I20" s="44">
        <v>2021</v>
      </c>
      <c r="J20" s="44"/>
    </row>
    <row r="21" spans="1:10" s="4" customFormat="1" ht="60.75" customHeight="1" x14ac:dyDescent="0.25">
      <c r="A21" s="43"/>
      <c r="B21" s="97"/>
      <c r="C21" s="44" t="s">
        <v>120</v>
      </c>
      <c r="D21" s="44" t="s">
        <v>101</v>
      </c>
      <c r="E21" s="44" t="s">
        <v>217</v>
      </c>
      <c r="F21" s="44">
        <f>37*2</f>
        <v>74</v>
      </c>
      <c r="G21" s="44">
        <v>2</v>
      </c>
      <c r="H21" s="44">
        <v>11</v>
      </c>
      <c r="I21" s="44">
        <v>2021</v>
      </c>
      <c r="J21" s="44"/>
    </row>
    <row r="22" spans="1:10" s="4" customFormat="1" ht="51" customHeight="1" x14ac:dyDescent="0.25">
      <c r="B22" s="44" t="s">
        <v>72</v>
      </c>
      <c r="C22" s="44" t="s">
        <v>127</v>
      </c>
      <c r="D22" s="44" t="s">
        <v>101</v>
      </c>
      <c r="E22" s="44" t="s">
        <v>175</v>
      </c>
      <c r="F22" s="44">
        <f>1.5*2</f>
        <v>3</v>
      </c>
      <c r="G22" s="44">
        <v>2</v>
      </c>
      <c r="H22" s="44">
        <v>4</v>
      </c>
      <c r="I22" s="44">
        <v>2018</v>
      </c>
      <c r="J22" s="44"/>
    </row>
    <row r="23" spans="1:10" ht="45" customHeight="1" x14ac:dyDescent="0.25">
      <c r="A23" s="2"/>
      <c r="B23" s="96" t="s">
        <v>33</v>
      </c>
      <c r="C23" s="44" t="s">
        <v>110</v>
      </c>
      <c r="D23" s="44" t="s">
        <v>111</v>
      </c>
      <c r="E23" s="44" t="s">
        <v>168</v>
      </c>
      <c r="F23" s="44">
        <v>4</v>
      </c>
      <c r="G23" s="44">
        <v>1</v>
      </c>
      <c r="H23" s="44" t="s">
        <v>112</v>
      </c>
      <c r="I23" s="44">
        <v>2018</v>
      </c>
      <c r="J23" s="44"/>
    </row>
    <row r="24" spans="1:10" ht="46.5" customHeight="1" x14ac:dyDescent="0.25">
      <c r="B24" s="97"/>
      <c r="C24" s="44" t="s">
        <v>113</v>
      </c>
      <c r="D24" s="44" t="s">
        <v>101</v>
      </c>
      <c r="E24" s="44" t="s">
        <v>114</v>
      </c>
      <c r="F24" s="44" t="s">
        <v>115</v>
      </c>
      <c r="G24" s="44">
        <v>4</v>
      </c>
      <c r="H24" s="44" t="s">
        <v>116</v>
      </c>
      <c r="I24" s="44"/>
      <c r="J24" s="44"/>
    </row>
    <row r="25" spans="1:10" ht="50.25" customHeight="1" x14ac:dyDescent="0.25">
      <c r="A25" s="2"/>
      <c r="B25" s="96" t="s">
        <v>34</v>
      </c>
      <c r="C25" s="44" t="s">
        <v>106</v>
      </c>
      <c r="D25" s="44" t="s">
        <v>101</v>
      </c>
      <c r="E25" s="44" t="s">
        <v>117</v>
      </c>
      <c r="F25" s="44" t="s">
        <v>118</v>
      </c>
      <c r="G25" s="44">
        <v>4</v>
      </c>
      <c r="H25" s="44" t="s">
        <v>119</v>
      </c>
      <c r="I25" s="44"/>
      <c r="J25" s="44"/>
    </row>
    <row r="26" spans="1:10" ht="51.75" customHeight="1" x14ac:dyDescent="0.25">
      <c r="B26" s="97"/>
      <c r="C26" s="44" t="s">
        <v>138</v>
      </c>
      <c r="D26" s="44" t="s">
        <v>101</v>
      </c>
      <c r="E26" s="44"/>
      <c r="F26" s="44" t="s">
        <v>139</v>
      </c>
      <c r="G26" s="44">
        <v>2</v>
      </c>
      <c r="H26" s="44">
        <v>3</v>
      </c>
      <c r="I26" s="44">
        <v>2023</v>
      </c>
      <c r="J26" s="44"/>
    </row>
    <row r="27" spans="1:10" ht="51" customHeight="1" x14ac:dyDescent="0.25">
      <c r="A27" s="2"/>
      <c r="B27" s="96" t="s">
        <v>39</v>
      </c>
      <c r="C27" s="44" t="s">
        <v>66</v>
      </c>
      <c r="D27" s="44" t="s">
        <v>101</v>
      </c>
      <c r="E27" s="44" t="s">
        <v>173</v>
      </c>
      <c r="F27" s="44">
        <v>11</v>
      </c>
      <c r="G27" s="44">
        <v>2</v>
      </c>
      <c r="H27" s="44">
        <v>11.66</v>
      </c>
      <c r="I27" s="44"/>
      <c r="J27" s="44"/>
    </row>
    <row r="28" spans="1:10" ht="51" customHeight="1" x14ac:dyDescent="0.25">
      <c r="B28" s="97"/>
      <c r="C28" s="44" t="s">
        <v>32</v>
      </c>
      <c r="D28" s="44" t="s">
        <v>101</v>
      </c>
      <c r="E28" s="44" t="s">
        <v>172</v>
      </c>
      <c r="F28" s="44">
        <v>15.5</v>
      </c>
      <c r="G28" s="44">
        <v>2</v>
      </c>
      <c r="H28" s="44">
        <v>8.32</v>
      </c>
      <c r="I28" s="44"/>
      <c r="J28" s="44"/>
    </row>
    <row r="29" spans="1:10" ht="51.75" customHeight="1" x14ac:dyDescent="0.25">
      <c r="A29" s="2"/>
      <c r="B29" s="96" t="s">
        <v>100</v>
      </c>
      <c r="C29" s="44" t="s">
        <v>125</v>
      </c>
      <c r="D29" s="44" t="s">
        <v>101</v>
      </c>
      <c r="E29" s="44" t="s">
        <v>188</v>
      </c>
      <c r="F29" s="44">
        <v>15</v>
      </c>
      <c r="G29" s="44">
        <v>2</v>
      </c>
      <c r="H29" s="44"/>
      <c r="I29" s="44">
        <v>2019</v>
      </c>
      <c r="J29" s="44"/>
    </row>
    <row r="30" spans="1:10" ht="50.25" customHeight="1" x14ac:dyDescent="0.25">
      <c r="B30" s="97"/>
      <c r="C30" s="44" t="s">
        <v>126</v>
      </c>
      <c r="D30" s="44" t="s">
        <v>101</v>
      </c>
      <c r="E30" s="44" t="s">
        <v>189</v>
      </c>
      <c r="F30" s="44">
        <v>6</v>
      </c>
      <c r="G30" s="44">
        <v>2</v>
      </c>
      <c r="H30" s="44"/>
      <c r="I30" s="44">
        <v>2019</v>
      </c>
      <c r="J30" s="44"/>
    </row>
    <row r="31" spans="1:10" ht="43.5" customHeight="1" x14ac:dyDescent="0.25">
      <c r="B31" s="44" t="s">
        <v>149</v>
      </c>
      <c r="C31" s="44" t="s">
        <v>124</v>
      </c>
      <c r="D31" s="44" t="s">
        <v>101</v>
      </c>
      <c r="E31" s="44" t="s">
        <v>176</v>
      </c>
      <c r="F31" s="44">
        <v>62</v>
      </c>
      <c r="G31" s="44">
        <v>2</v>
      </c>
      <c r="H31" s="44">
        <v>5</v>
      </c>
      <c r="I31" s="44">
        <v>2011</v>
      </c>
      <c r="J31" s="44"/>
    </row>
    <row r="32" spans="1:10" ht="55.5" customHeight="1" x14ac:dyDescent="0.25">
      <c r="B32" s="44" t="s">
        <v>41</v>
      </c>
      <c r="C32" s="44" t="s">
        <v>136</v>
      </c>
      <c r="D32" s="44" t="s">
        <v>137</v>
      </c>
      <c r="E32" s="44" t="s">
        <v>224</v>
      </c>
      <c r="F32" s="44">
        <v>2</v>
      </c>
      <c r="G32" s="44">
        <v>2</v>
      </c>
      <c r="H32" s="44">
        <v>3.65</v>
      </c>
      <c r="I32" s="44">
        <v>2024</v>
      </c>
      <c r="J32" s="44"/>
    </row>
    <row r="33" spans="1:10" ht="52.5" customHeight="1" x14ac:dyDescent="0.25">
      <c r="A33" s="2"/>
      <c r="B33" s="96" t="s">
        <v>150</v>
      </c>
      <c r="C33" s="44" t="s">
        <v>136</v>
      </c>
      <c r="D33" s="44" t="s">
        <v>137</v>
      </c>
      <c r="E33" s="44"/>
      <c r="F33" s="44">
        <v>2.2000000000000002</v>
      </c>
      <c r="G33" s="44">
        <v>1</v>
      </c>
      <c r="H33" s="44">
        <v>3.65</v>
      </c>
      <c r="I33" s="44">
        <v>2014</v>
      </c>
      <c r="J33" s="44"/>
    </row>
    <row r="34" spans="1:10" ht="59.25" customHeight="1" x14ac:dyDescent="0.25">
      <c r="B34" s="97"/>
      <c r="C34" s="44" t="s">
        <v>142</v>
      </c>
      <c r="D34" s="44" t="s">
        <v>137</v>
      </c>
      <c r="E34" s="44"/>
      <c r="F34" s="44">
        <f>7.5+7.5</f>
        <v>15</v>
      </c>
      <c r="G34" s="44">
        <v>2</v>
      </c>
      <c r="H34" s="44"/>
      <c r="I34" s="44"/>
      <c r="J34" s="44"/>
    </row>
    <row r="35" spans="1:10" s="42" customFormat="1" ht="49.5" customHeight="1" x14ac:dyDescent="0.25">
      <c r="B35" s="44" t="s">
        <v>29</v>
      </c>
      <c r="C35" s="44" t="s">
        <v>136</v>
      </c>
      <c r="D35" s="44" t="s">
        <v>137</v>
      </c>
      <c r="E35" s="44" t="s">
        <v>218</v>
      </c>
      <c r="F35" s="44"/>
      <c r="G35" s="44">
        <v>2</v>
      </c>
      <c r="H35" s="44">
        <v>3</v>
      </c>
      <c r="I35" s="44">
        <v>2008</v>
      </c>
      <c r="J35" s="44"/>
    </row>
    <row r="36" spans="1:10" s="42" customFormat="1" ht="49.5" customHeight="1" x14ac:dyDescent="0.25">
      <c r="B36" s="44" t="s">
        <v>29</v>
      </c>
      <c r="C36" s="44" t="s">
        <v>136</v>
      </c>
      <c r="D36" s="44" t="s">
        <v>137</v>
      </c>
      <c r="E36" s="44" t="s">
        <v>219</v>
      </c>
      <c r="F36" s="44"/>
      <c r="G36" s="44">
        <v>2</v>
      </c>
      <c r="H36" s="44">
        <v>4</v>
      </c>
      <c r="I36" s="44">
        <v>2019</v>
      </c>
      <c r="J36" s="44"/>
    </row>
    <row r="37" spans="1:10" ht="44.25" customHeight="1" x14ac:dyDescent="0.25">
      <c r="B37" s="44" t="s">
        <v>50</v>
      </c>
      <c r="C37" s="44" t="s">
        <v>220</v>
      </c>
      <c r="D37" s="44" t="s">
        <v>101</v>
      </c>
      <c r="E37" s="44" t="s">
        <v>159</v>
      </c>
      <c r="F37" s="44">
        <v>22</v>
      </c>
      <c r="G37" s="44">
        <v>2</v>
      </c>
      <c r="H37" s="44">
        <v>9.4</v>
      </c>
      <c r="I37" s="44">
        <v>2012</v>
      </c>
      <c r="J37" s="44"/>
    </row>
    <row r="38" spans="1:10" ht="45.75" customHeight="1" x14ac:dyDescent="0.25">
      <c r="B38" s="44" t="s">
        <v>50</v>
      </c>
      <c r="C38" s="44" t="s">
        <v>221</v>
      </c>
      <c r="D38" s="44" t="s">
        <v>101</v>
      </c>
      <c r="E38" s="44" t="s">
        <v>160</v>
      </c>
      <c r="F38" s="44">
        <v>15</v>
      </c>
      <c r="G38" s="44">
        <v>2</v>
      </c>
      <c r="H38" s="44">
        <v>5.6</v>
      </c>
      <c r="I38" s="44">
        <v>2012</v>
      </c>
      <c r="J38" s="44"/>
    </row>
  </sheetData>
  <mergeCells count="18">
    <mergeCell ref="B17:B18"/>
    <mergeCell ref="B19:B21"/>
    <mergeCell ref="B25:B26"/>
    <mergeCell ref="B33:B34"/>
    <mergeCell ref="G7:G8"/>
    <mergeCell ref="B27:B28"/>
    <mergeCell ref="B29:B30"/>
    <mergeCell ref="B23:B24"/>
    <mergeCell ref="B12:B14"/>
    <mergeCell ref="B15:B16"/>
    <mergeCell ref="H7:H8"/>
    <mergeCell ref="B5:J5"/>
    <mergeCell ref="I7:I8"/>
    <mergeCell ref="J7:J8"/>
    <mergeCell ref="C7:C8"/>
    <mergeCell ref="D7:D8"/>
    <mergeCell ref="B7:B8"/>
    <mergeCell ref="E7:E8"/>
  </mergeCells>
  <dataValidations disablePrompts="1" count="1">
    <dataValidation type="list" allowBlank="1" showInputMessage="1" showErrorMessage="1" sqref="D18:D22 D9:D16 D24:D30 D37:D38">
      <formula1>"Station de pompage,Station de reprise,Station de relevage,"</formula1>
    </dataValidation>
  </dataValidations>
  <pageMargins left="0.7" right="0.7" top="0.75" bottom="0.75" header="0.3" footer="0.3"/>
  <pageSetup paperSize="9" scale="5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617"/>
  <sheetViews>
    <sheetView tabSelected="1" topLeftCell="A578" zoomScale="71" zoomScaleNormal="71" workbookViewId="0">
      <selection activeCell="G4" sqref="G4"/>
    </sheetView>
  </sheetViews>
  <sheetFormatPr baseColWidth="10" defaultRowHeight="15" x14ac:dyDescent="0.25"/>
  <cols>
    <col min="2" max="2" width="36.85546875" customWidth="1"/>
    <col min="3" max="3" width="48.85546875" customWidth="1"/>
    <col min="4" max="4" width="22.5703125" customWidth="1"/>
    <col min="5" max="5" width="30" customWidth="1"/>
    <col min="6" max="6" width="27.7109375" customWidth="1"/>
    <col min="7" max="7" width="31.28515625" customWidth="1"/>
    <col min="8" max="8" width="27.7109375" customWidth="1"/>
  </cols>
  <sheetData>
    <row r="1" spans="1:8" ht="15.75" x14ac:dyDescent="0.25">
      <c r="A1" s="21" t="s">
        <v>22</v>
      </c>
    </row>
    <row r="2" spans="1:8" ht="15.75" x14ac:dyDescent="0.25">
      <c r="A2" s="21" t="s">
        <v>23</v>
      </c>
    </row>
    <row r="3" spans="1:8" ht="15.75" x14ac:dyDescent="0.25">
      <c r="A3" s="21" t="s">
        <v>21</v>
      </c>
    </row>
    <row r="4" spans="1:8" x14ac:dyDescent="0.25">
      <c r="A4" s="1"/>
    </row>
    <row r="5" spans="1:8" ht="51" customHeight="1" x14ac:dyDescent="0.25">
      <c r="A5" s="1"/>
      <c r="B5" s="99" t="s">
        <v>225</v>
      </c>
      <c r="C5" s="99"/>
      <c r="D5" s="99"/>
      <c r="E5" s="99"/>
      <c r="F5" s="99"/>
      <c r="G5" s="99"/>
      <c r="H5" s="99"/>
    </row>
    <row r="6" spans="1:8" ht="22.5" customHeight="1" thickBot="1" x14ac:dyDescent="0.3"/>
    <row r="7" spans="1:8" ht="51" customHeight="1" thickBot="1" x14ac:dyDescent="0.3">
      <c r="B7" s="16" t="s">
        <v>19</v>
      </c>
      <c r="C7" s="14" t="s">
        <v>91</v>
      </c>
      <c r="D7" s="14" t="s">
        <v>15</v>
      </c>
      <c r="E7" s="14" t="s">
        <v>16</v>
      </c>
      <c r="F7" s="14" t="s">
        <v>17</v>
      </c>
      <c r="G7" s="14" t="s">
        <v>18</v>
      </c>
      <c r="H7" s="14" t="s">
        <v>20</v>
      </c>
    </row>
    <row r="8" spans="1:8" ht="18.75" x14ac:dyDescent="0.25">
      <c r="B8" s="100" t="s">
        <v>31</v>
      </c>
      <c r="C8" s="22" t="s">
        <v>107</v>
      </c>
      <c r="D8" s="9">
        <v>110</v>
      </c>
      <c r="E8" s="9" t="s">
        <v>93</v>
      </c>
      <c r="F8" s="9">
        <v>600</v>
      </c>
      <c r="G8" s="9" t="s">
        <v>95</v>
      </c>
      <c r="H8" s="10" t="s">
        <v>26</v>
      </c>
    </row>
    <row r="9" spans="1:8" ht="18.75" x14ac:dyDescent="0.25">
      <c r="B9" s="100"/>
      <c r="C9" s="22" t="s">
        <v>107</v>
      </c>
      <c r="D9" s="9">
        <v>63</v>
      </c>
      <c r="E9" s="9" t="s">
        <v>94</v>
      </c>
      <c r="F9" s="9">
        <v>3467</v>
      </c>
      <c r="G9" s="9" t="s">
        <v>95</v>
      </c>
      <c r="H9" s="10" t="s">
        <v>26</v>
      </c>
    </row>
    <row r="10" spans="1:8" ht="18.75" x14ac:dyDescent="0.25">
      <c r="B10" s="100"/>
      <c r="C10" s="22" t="s">
        <v>107</v>
      </c>
      <c r="D10" s="9">
        <v>50</v>
      </c>
      <c r="E10" s="9" t="s">
        <v>94</v>
      </c>
      <c r="F10" s="9">
        <v>1430</v>
      </c>
      <c r="G10" s="9" t="s">
        <v>95</v>
      </c>
      <c r="H10" s="10" t="s">
        <v>26</v>
      </c>
    </row>
    <row r="11" spans="1:8" ht="18.75" x14ac:dyDescent="0.25">
      <c r="B11" s="100"/>
      <c r="C11" s="22" t="s">
        <v>107</v>
      </c>
      <c r="D11" s="9">
        <v>60</v>
      </c>
      <c r="E11" s="9" t="s">
        <v>97</v>
      </c>
      <c r="F11" s="9">
        <v>15916</v>
      </c>
      <c r="G11" s="9" t="s">
        <v>95</v>
      </c>
      <c r="H11" s="10" t="s">
        <v>26</v>
      </c>
    </row>
    <row r="12" spans="1:8" ht="18.75" x14ac:dyDescent="0.25">
      <c r="B12" s="100"/>
      <c r="C12" s="22" t="s">
        <v>107</v>
      </c>
      <c r="D12" s="9">
        <v>225</v>
      </c>
      <c r="E12" s="9" t="s">
        <v>93</v>
      </c>
      <c r="F12" s="9">
        <v>9183</v>
      </c>
      <c r="G12" s="9" t="s">
        <v>95</v>
      </c>
      <c r="H12" s="10" t="s">
        <v>26</v>
      </c>
    </row>
    <row r="13" spans="1:8" ht="18.75" x14ac:dyDescent="0.25">
      <c r="B13" s="100"/>
      <c r="C13" s="22" t="s">
        <v>107</v>
      </c>
      <c r="D13" s="9">
        <v>60</v>
      </c>
      <c r="E13" s="9" t="s">
        <v>97</v>
      </c>
      <c r="F13" s="9">
        <v>4938</v>
      </c>
      <c r="G13" s="9" t="s">
        <v>95</v>
      </c>
      <c r="H13" s="10" t="s">
        <v>26</v>
      </c>
    </row>
    <row r="14" spans="1:8" ht="18.75" x14ac:dyDescent="0.25">
      <c r="B14" s="100"/>
      <c r="C14" s="22" t="s">
        <v>107</v>
      </c>
      <c r="D14" s="9">
        <v>63</v>
      </c>
      <c r="E14" s="9" t="s">
        <v>93</v>
      </c>
      <c r="F14" s="9">
        <v>2645</v>
      </c>
      <c r="G14" s="9" t="s">
        <v>95</v>
      </c>
      <c r="H14" s="10" t="s">
        <v>26</v>
      </c>
    </row>
    <row r="15" spans="1:8" ht="18.75" x14ac:dyDescent="0.25">
      <c r="B15" s="100"/>
      <c r="C15" s="22" t="s">
        <v>107</v>
      </c>
      <c r="D15" s="9">
        <v>80</v>
      </c>
      <c r="E15" s="9" t="s">
        <v>97</v>
      </c>
      <c r="F15" s="9">
        <v>504</v>
      </c>
      <c r="G15" s="9" t="s">
        <v>95</v>
      </c>
      <c r="H15" s="10" t="s">
        <v>26</v>
      </c>
    </row>
    <row r="16" spans="1:8" ht="18.75" x14ac:dyDescent="0.25">
      <c r="B16" s="100"/>
      <c r="C16" s="22" t="s">
        <v>107</v>
      </c>
      <c r="D16" s="9">
        <v>90</v>
      </c>
      <c r="E16" s="9" t="s">
        <v>93</v>
      </c>
      <c r="F16" s="9">
        <v>2486</v>
      </c>
      <c r="G16" s="9" t="s">
        <v>95</v>
      </c>
      <c r="H16" s="10" t="s">
        <v>26</v>
      </c>
    </row>
    <row r="17" spans="2:8" ht="18.75" x14ac:dyDescent="0.25">
      <c r="B17" s="100"/>
      <c r="C17" s="22" t="s">
        <v>107</v>
      </c>
      <c r="D17" s="9">
        <v>100</v>
      </c>
      <c r="E17" s="9" t="s">
        <v>97</v>
      </c>
      <c r="F17" s="9">
        <v>1134</v>
      </c>
      <c r="G17" s="9" t="s">
        <v>95</v>
      </c>
      <c r="H17" s="10" t="s">
        <v>26</v>
      </c>
    </row>
    <row r="18" spans="2:8" ht="18.75" x14ac:dyDescent="0.25">
      <c r="B18" s="100"/>
      <c r="C18" s="22" t="s">
        <v>107</v>
      </c>
      <c r="D18" s="9">
        <v>110</v>
      </c>
      <c r="E18" s="9" t="s">
        <v>93</v>
      </c>
      <c r="F18" s="9">
        <v>62</v>
      </c>
      <c r="G18" s="9" t="s">
        <v>95</v>
      </c>
      <c r="H18" s="10" t="s">
        <v>26</v>
      </c>
    </row>
    <row r="19" spans="2:8" ht="18.75" x14ac:dyDescent="0.25">
      <c r="B19" s="100"/>
      <c r="C19" s="22" t="s">
        <v>107</v>
      </c>
      <c r="D19" s="9">
        <v>125</v>
      </c>
      <c r="E19" s="9" t="s">
        <v>93</v>
      </c>
      <c r="F19" s="9">
        <v>397</v>
      </c>
      <c r="G19" s="9" t="s">
        <v>95</v>
      </c>
      <c r="H19" s="10" t="s">
        <v>26</v>
      </c>
    </row>
    <row r="20" spans="2:8" ht="18.75" thickBot="1" x14ac:dyDescent="0.3">
      <c r="B20" s="100"/>
      <c r="C20" s="22" t="s">
        <v>107</v>
      </c>
      <c r="D20" s="9">
        <v>200</v>
      </c>
      <c r="E20" s="9" t="s">
        <v>93</v>
      </c>
      <c r="F20" s="9">
        <v>432</v>
      </c>
      <c r="G20" s="9" t="s">
        <v>95</v>
      </c>
      <c r="H20" s="10" t="s">
        <v>26</v>
      </c>
    </row>
    <row r="21" spans="2:8" ht="18.75" thickBot="1" x14ac:dyDescent="0.3">
      <c r="B21" s="100"/>
      <c r="C21" s="22" t="s">
        <v>107</v>
      </c>
      <c r="D21" s="9">
        <v>75</v>
      </c>
      <c r="E21" s="9" t="s">
        <v>94</v>
      </c>
      <c r="F21" s="9">
        <v>1300</v>
      </c>
      <c r="G21" s="9" t="s">
        <v>95</v>
      </c>
      <c r="H21" s="10" t="s">
        <v>25</v>
      </c>
    </row>
    <row r="22" spans="2:8" ht="19.5" thickBot="1" x14ac:dyDescent="0.3">
      <c r="B22" s="101"/>
      <c r="C22" s="23" t="s">
        <v>107</v>
      </c>
      <c r="D22" s="11">
        <v>75</v>
      </c>
      <c r="E22" s="11" t="s">
        <v>94</v>
      </c>
      <c r="F22" s="11">
        <v>65</v>
      </c>
      <c r="G22" s="11" t="s">
        <v>95</v>
      </c>
      <c r="H22" s="12" t="s">
        <v>26</v>
      </c>
    </row>
    <row r="23" spans="2:8" ht="18.75" customHeight="1" x14ac:dyDescent="0.25">
      <c r="B23" s="104" t="s">
        <v>152</v>
      </c>
      <c r="C23" s="24" t="s">
        <v>107</v>
      </c>
      <c r="D23" s="7">
        <v>110</v>
      </c>
      <c r="E23" s="7" t="s">
        <v>93</v>
      </c>
      <c r="F23" s="7">
        <v>1800</v>
      </c>
      <c r="G23" s="9" t="s">
        <v>95</v>
      </c>
      <c r="H23" s="8" t="s">
        <v>143</v>
      </c>
    </row>
    <row r="24" spans="2:8" ht="18.75" customHeight="1" x14ac:dyDescent="0.25">
      <c r="B24" s="105"/>
      <c r="C24" s="22" t="s">
        <v>107</v>
      </c>
      <c r="D24" s="9">
        <v>90</v>
      </c>
      <c r="E24" s="9" t="s">
        <v>94</v>
      </c>
      <c r="F24" s="9">
        <v>3600</v>
      </c>
      <c r="G24" s="9" t="s">
        <v>95</v>
      </c>
      <c r="H24" s="10" t="s">
        <v>143</v>
      </c>
    </row>
    <row r="25" spans="2:8" ht="18.75" customHeight="1" x14ac:dyDescent="0.25">
      <c r="B25" s="105"/>
      <c r="C25" s="22" t="s">
        <v>107</v>
      </c>
      <c r="D25" s="9">
        <v>80</v>
      </c>
      <c r="E25" s="9" t="s">
        <v>96</v>
      </c>
      <c r="F25" s="9">
        <v>3200</v>
      </c>
      <c r="G25" s="9" t="s">
        <v>95</v>
      </c>
      <c r="H25" s="10" t="s">
        <v>143</v>
      </c>
    </row>
    <row r="26" spans="2:8" ht="18.75" customHeight="1" x14ac:dyDescent="0.25">
      <c r="B26" s="105"/>
      <c r="C26" s="22" t="s">
        <v>107</v>
      </c>
      <c r="D26" s="9">
        <v>90</v>
      </c>
      <c r="E26" s="9" t="s">
        <v>94</v>
      </c>
      <c r="F26" s="9">
        <v>2600</v>
      </c>
      <c r="G26" s="9" t="s">
        <v>95</v>
      </c>
      <c r="H26" s="10" t="s">
        <v>143</v>
      </c>
    </row>
    <row r="27" spans="2:8" ht="18.75" customHeight="1" x14ac:dyDescent="0.25">
      <c r="B27" s="105"/>
      <c r="C27" s="22" t="s">
        <v>107</v>
      </c>
      <c r="D27" s="9">
        <v>63</v>
      </c>
      <c r="E27" s="9" t="s">
        <v>94</v>
      </c>
      <c r="F27" s="9">
        <v>6700</v>
      </c>
      <c r="G27" s="9" t="s">
        <v>95</v>
      </c>
      <c r="H27" s="10" t="s">
        <v>143</v>
      </c>
    </row>
    <row r="28" spans="2:8" ht="18.75" customHeight="1" x14ac:dyDescent="0.25">
      <c r="B28" s="105"/>
      <c r="C28" s="22" t="s">
        <v>107</v>
      </c>
      <c r="D28" s="9">
        <v>50</v>
      </c>
      <c r="E28" s="9" t="s">
        <v>94</v>
      </c>
      <c r="F28" s="9">
        <v>1950</v>
      </c>
      <c r="G28" s="9" t="s">
        <v>95</v>
      </c>
      <c r="H28" s="10" t="s">
        <v>143</v>
      </c>
    </row>
    <row r="29" spans="2:8" ht="18.75" customHeight="1" x14ac:dyDescent="0.25">
      <c r="B29" s="105"/>
      <c r="C29" s="22" t="s">
        <v>107</v>
      </c>
      <c r="D29" s="9">
        <v>160</v>
      </c>
      <c r="E29" s="9" t="s">
        <v>93</v>
      </c>
      <c r="F29" s="9">
        <v>1320</v>
      </c>
      <c r="G29" s="9" t="s">
        <v>95</v>
      </c>
      <c r="H29" s="10" t="s">
        <v>143</v>
      </c>
    </row>
    <row r="30" spans="2:8" ht="18.75" customHeight="1" x14ac:dyDescent="0.25">
      <c r="B30" s="105"/>
      <c r="C30" s="22" t="s">
        <v>107</v>
      </c>
      <c r="D30" s="9">
        <v>140</v>
      </c>
      <c r="E30" s="9" t="s">
        <v>93</v>
      </c>
      <c r="F30" s="9">
        <v>1074</v>
      </c>
      <c r="G30" s="9" t="s">
        <v>95</v>
      </c>
      <c r="H30" s="10" t="s">
        <v>143</v>
      </c>
    </row>
    <row r="31" spans="2:8" ht="18.75" customHeight="1" x14ac:dyDescent="0.25">
      <c r="B31" s="105"/>
      <c r="C31" s="22" t="s">
        <v>107</v>
      </c>
      <c r="D31" s="9">
        <v>110</v>
      </c>
      <c r="E31" s="9" t="s">
        <v>93</v>
      </c>
      <c r="F31" s="9">
        <v>1831</v>
      </c>
      <c r="G31" s="9" t="s">
        <v>95</v>
      </c>
      <c r="H31" s="10" t="s">
        <v>143</v>
      </c>
    </row>
    <row r="32" spans="2:8" ht="18.75" customHeight="1" x14ac:dyDescent="0.25">
      <c r="B32" s="105"/>
      <c r="C32" s="22" t="s">
        <v>107</v>
      </c>
      <c r="D32" s="9">
        <v>90</v>
      </c>
      <c r="E32" s="9" t="s">
        <v>94</v>
      </c>
      <c r="F32" s="9">
        <v>1650</v>
      </c>
      <c r="G32" s="9" t="s">
        <v>95</v>
      </c>
      <c r="H32" s="10" t="s">
        <v>143</v>
      </c>
    </row>
    <row r="33" spans="2:8" ht="18.75" customHeight="1" x14ac:dyDescent="0.25">
      <c r="B33" s="105"/>
      <c r="C33" s="22" t="s">
        <v>107</v>
      </c>
      <c r="D33" s="9">
        <v>75</v>
      </c>
      <c r="E33" s="9" t="s">
        <v>94</v>
      </c>
      <c r="F33" s="9">
        <v>1070</v>
      </c>
      <c r="G33" s="9" t="s">
        <v>95</v>
      </c>
      <c r="H33" s="10" t="s">
        <v>143</v>
      </c>
    </row>
    <row r="34" spans="2:8" ht="18.75" customHeight="1" x14ac:dyDescent="0.25">
      <c r="B34" s="105"/>
      <c r="C34" s="22" t="s">
        <v>107</v>
      </c>
      <c r="D34" s="9">
        <v>63</v>
      </c>
      <c r="E34" s="9" t="s">
        <v>94</v>
      </c>
      <c r="F34" s="9">
        <v>7500</v>
      </c>
      <c r="G34" s="9" t="s">
        <v>95</v>
      </c>
      <c r="H34" s="10" t="s">
        <v>143</v>
      </c>
    </row>
    <row r="35" spans="2:8" ht="18.75" customHeight="1" x14ac:dyDescent="0.25">
      <c r="B35" s="105"/>
      <c r="C35" s="22" t="s">
        <v>107</v>
      </c>
      <c r="D35" s="9">
        <v>50</v>
      </c>
      <c r="E35" s="9" t="s">
        <v>94</v>
      </c>
      <c r="F35" s="9">
        <v>12750</v>
      </c>
      <c r="G35" s="9" t="s">
        <v>95</v>
      </c>
      <c r="H35" s="10" t="s">
        <v>143</v>
      </c>
    </row>
    <row r="36" spans="2:8" ht="18.75" customHeight="1" x14ac:dyDescent="0.25">
      <c r="B36" s="105"/>
      <c r="C36" s="22" t="s">
        <v>107</v>
      </c>
      <c r="D36" s="9">
        <v>75</v>
      </c>
      <c r="E36" s="9" t="s">
        <v>94</v>
      </c>
      <c r="F36" s="9">
        <v>626</v>
      </c>
      <c r="G36" s="9" t="s">
        <v>95</v>
      </c>
      <c r="H36" s="10" t="s">
        <v>143</v>
      </c>
    </row>
    <row r="37" spans="2:8" ht="18.75" customHeight="1" x14ac:dyDescent="0.25">
      <c r="B37" s="105"/>
      <c r="C37" s="22" t="s">
        <v>107</v>
      </c>
      <c r="D37" s="9">
        <v>63</v>
      </c>
      <c r="E37" s="9" t="s">
        <v>94</v>
      </c>
      <c r="F37" s="9">
        <v>4600</v>
      </c>
      <c r="G37" s="9" t="s">
        <v>95</v>
      </c>
      <c r="H37" s="10" t="s">
        <v>143</v>
      </c>
    </row>
    <row r="38" spans="2:8" ht="18.75" customHeight="1" x14ac:dyDescent="0.25">
      <c r="B38" s="105"/>
      <c r="C38" s="22" t="s">
        <v>107</v>
      </c>
      <c r="D38" s="9">
        <v>50</v>
      </c>
      <c r="E38" s="9" t="s">
        <v>94</v>
      </c>
      <c r="F38" s="9">
        <v>8740</v>
      </c>
      <c r="G38" s="9" t="s">
        <v>95</v>
      </c>
      <c r="H38" s="10" t="s">
        <v>143</v>
      </c>
    </row>
    <row r="39" spans="2:8" ht="18.75" customHeight="1" x14ac:dyDescent="0.25">
      <c r="B39" s="105"/>
      <c r="C39" s="22" t="s">
        <v>107</v>
      </c>
      <c r="D39" s="9">
        <v>63</v>
      </c>
      <c r="E39" s="9" t="s">
        <v>94</v>
      </c>
      <c r="F39" s="9">
        <v>1800</v>
      </c>
      <c r="G39" s="9" t="s">
        <v>95</v>
      </c>
      <c r="H39" s="10" t="s">
        <v>143</v>
      </c>
    </row>
    <row r="40" spans="2:8" ht="18.75" customHeight="1" x14ac:dyDescent="0.25">
      <c r="B40" s="105"/>
      <c r="C40" s="22" t="s">
        <v>107</v>
      </c>
      <c r="D40" s="9">
        <v>50</v>
      </c>
      <c r="E40" s="9" t="s">
        <v>94</v>
      </c>
      <c r="F40" s="9">
        <v>2400</v>
      </c>
      <c r="G40" s="9" t="s">
        <v>95</v>
      </c>
      <c r="H40" s="10" t="s">
        <v>143</v>
      </c>
    </row>
    <row r="41" spans="2:8" ht="18.75" customHeight="1" x14ac:dyDescent="0.25">
      <c r="B41" s="105"/>
      <c r="C41" s="22" t="s">
        <v>107</v>
      </c>
      <c r="D41" s="9">
        <v>63</v>
      </c>
      <c r="E41" s="9" t="s">
        <v>94</v>
      </c>
      <c r="F41" s="9">
        <v>1100</v>
      </c>
      <c r="G41" s="9" t="s">
        <v>95</v>
      </c>
      <c r="H41" s="10" t="s">
        <v>143</v>
      </c>
    </row>
    <row r="42" spans="2:8" ht="18.75" customHeight="1" x14ac:dyDescent="0.25">
      <c r="B42" s="105"/>
      <c r="C42" s="22" t="s">
        <v>107</v>
      </c>
      <c r="D42" s="9">
        <v>50</v>
      </c>
      <c r="E42" s="9" t="s">
        <v>94</v>
      </c>
      <c r="F42" s="9">
        <v>2520</v>
      </c>
      <c r="G42" s="9" t="s">
        <v>95</v>
      </c>
      <c r="H42" s="10" t="s">
        <v>143</v>
      </c>
    </row>
    <row r="43" spans="2:8" ht="18.75" customHeight="1" x14ac:dyDescent="0.25">
      <c r="B43" s="105"/>
      <c r="C43" s="22" t="s">
        <v>107</v>
      </c>
      <c r="D43" s="9">
        <v>90</v>
      </c>
      <c r="E43" s="9" t="s">
        <v>94</v>
      </c>
      <c r="F43" s="9">
        <v>1819.29</v>
      </c>
      <c r="G43" s="9" t="s">
        <v>95</v>
      </c>
      <c r="H43" s="10" t="s">
        <v>143</v>
      </c>
    </row>
    <row r="44" spans="2:8" ht="18.75" customHeight="1" x14ac:dyDescent="0.25">
      <c r="B44" s="105"/>
      <c r="C44" s="22" t="s">
        <v>107</v>
      </c>
      <c r="D44" s="9">
        <v>75</v>
      </c>
      <c r="E44" s="9" t="s">
        <v>94</v>
      </c>
      <c r="F44" s="9">
        <v>2192.21</v>
      </c>
      <c r="G44" s="9" t="s">
        <v>95</v>
      </c>
      <c r="H44" s="10" t="s">
        <v>143</v>
      </c>
    </row>
    <row r="45" spans="2:8" ht="18.75" customHeight="1" x14ac:dyDescent="0.25">
      <c r="B45" s="105"/>
      <c r="C45" s="22" t="s">
        <v>107</v>
      </c>
      <c r="D45" s="9">
        <v>63</v>
      </c>
      <c r="E45" s="9" t="s">
        <v>94</v>
      </c>
      <c r="F45" s="9">
        <v>7600.48</v>
      </c>
      <c r="G45" s="9" t="s">
        <v>95</v>
      </c>
      <c r="H45" s="10" t="s">
        <v>143</v>
      </c>
    </row>
    <row r="46" spans="2:8" ht="18.75" customHeight="1" x14ac:dyDescent="0.25">
      <c r="B46" s="105"/>
      <c r="C46" s="22" t="s">
        <v>107</v>
      </c>
      <c r="D46" s="9">
        <v>63</v>
      </c>
      <c r="E46" s="9" t="s">
        <v>94</v>
      </c>
      <c r="F46" s="9">
        <v>160</v>
      </c>
      <c r="G46" s="9" t="s">
        <v>95</v>
      </c>
      <c r="H46" s="10" t="s">
        <v>143</v>
      </c>
    </row>
    <row r="47" spans="2:8" ht="18.75" customHeight="1" x14ac:dyDescent="0.25">
      <c r="B47" s="105"/>
      <c r="C47" s="22" t="s">
        <v>107</v>
      </c>
      <c r="D47" s="9">
        <v>50</v>
      </c>
      <c r="E47" s="9" t="s">
        <v>94</v>
      </c>
      <c r="F47" s="9">
        <v>100</v>
      </c>
      <c r="G47" s="9" t="s">
        <v>95</v>
      </c>
      <c r="H47" s="10" t="s">
        <v>143</v>
      </c>
    </row>
    <row r="48" spans="2:8" ht="18.75" customHeight="1" x14ac:dyDescent="0.25">
      <c r="B48" s="105"/>
      <c r="C48" s="22" t="s">
        <v>107</v>
      </c>
      <c r="D48" s="9">
        <v>63</v>
      </c>
      <c r="E48" s="9" t="s">
        <v>94</v>
      </c>
      <c r="F48" s="9">
        <v>100</v>
      </c>
      <c r="G48" s="9" t="s">
        <v>95</v>
      </c>
      <c r="H48" s="10" t="s">
        <v>143</v>
      </c>
    </row>
    <row r="49" spans="2:8" ht="18.75" customHeight="1" x14ac:dyDescent="0.25">
      <c r="B49" s="105"/>
      <c r="C49" s="22" t="s">
        <v>107</v>
      </c>
      <c r="D49" s="9">
        <v>63</v>
      </c>
      <c r="E49" s="9" t="s">
        <v>94</v>
      </c>
      <c r="F49" s="9">
        <v>160</v>
      </c>
      <c r="G49" s="9" t="s">
        <v>95</v>
      </c>
      <c r="H49" s="10" t="s">
        <v>143</v>
      </c>
    </row>
    <row r="50" spans="2:8" ht="18.75" customHeight="1" thickBot="1" x14ac:dyDescent="0.3">
      <c r="B50" s="106"/>
      <c r="C50" s="23" t="s">
        <v>107</v>
      </c>
      <c r="D50" s="11">
        <v>63</v>
      </c>
      <c r="E50" s="11" t="s">
        <v>94</v>
      </c>
      <c r="F50" s="11">
        <v>1373</v>
      </c>
      <c r="G50" s="11" t="s">
        <v>95</v>
      </c>
      <c r="H50" s="12" t="s">
        <v>26</v>
      </c>
    </row>
    <row r="51" spans="2:8" ht="18.75" customHeight="1" x14ac:dyDescent="0.25">
      <c r="B51" s="102" t="s">
        <v>226</v>
      </c>
      <c r="C51" s="22" t="s">
        <v>107</v>
      </c>
      <c r="D51" s="9">
        <v>225</v>
      </c>
      <c r="E51" s="9" t="s">
        <v>93</v>
      </c>
      <c r="F51" s="9">
        <v>2851.03</v>
      </c>
      <c r="G51" s="9" t="s">
        <v>95</v>
      </c>
      <c r="H51" s="10" t="s">
        <v>25</v>
      </c>
    </row>
    <row r="52" spans="2:8" ht="18.75" customHeight="1" x14ac:dyDescent="0.25">
      <c r="B52" s="102"/>
      <c r="C52" s="22" t="s">
        <v>107</v>
      </c>
      <c r="D52" s="9">
        <v>200</v>
      </c>
      <c r="E52" s="9" t="s">
        <v>94</v>
      </c>
      <c r="F52" s="9">
        <v>1984.96</v>
      </c>
      <c r="G52" s="9" t="s">
        <v>95</v>
      </c>
      <c r="H52" s="10" t="s">
        <v>25</v>
      </c>
    </row>
    <row r="53" spans="2:8" ht="18.75" customHeight="1" x14ac:dyDescent="0.25">
      <c r="B53" s="102"/>
      <c r="C53" s="22" t="s">
        <v>107</v>
      </c>
      <c r="D53" s="9">
        <v>110</v>
      </c>
      <c r="E53" s="9" t="s">
        <v>94</v>
      </c>
      <c r="F53" s="9">
        <v>1568.08</v>
      </c>
      <c r="G53" s="9" t="s">
        <v>95</v>
      </c>
      <c r="H53" s="10" t="s">
        <v>25</v>
      </c>
    </row>
    <row r="54" spans="2:8" ht="18.75" customHeight="1" x14ac:dyDescent="0.25">
      <c r="B54" s="102"/>
      <c r="C54" s="22" t="s">
        <v>107</v>
      </c>
      <c r="D54" s="9">
        <v>90</v>
      </c>
      <c r="E54" s="9" t="s">
        <v>94</v>
      </c>
      <c r="F54" s="9">
        <v>720.54</v>
      </c>
      <c r="G54" s="9" t="s">
        <v>95</v>
      </c>
      <c r="H54" s="10" t="s">
        <v>25</v>
      </c>
    </row>
    <row r="55" spans="2:8" ht="18.75" customHeight="1" x14ac:dyDescent="0.3">
      <c r="B55" s="102"/>
      <c r="C55" s="22" t="s">
        <v>107</v>
      </c>
      <c r="D55" s="9">
        <v>75</v>
      </c>
      <c r="E55" s="9" t="s">
        <v>93</v>
      </c>
      <c r="F55" s="9">
        <v>694.22</v>
      </c>
      <c r="G55" s="9" t="s">
        <v>95</v>
      </c>
      <c r="H55" s="10" t="s">
        <v>26</v>
      </c>
    </row>
    <row r="56" spans="2:8" ht="18.75" customHeight="1" x14ac:dyDescent="0.3">
      <c r="B56" s="102"/>
      <c r="C56" s="22" t="s">
        <v>107</v>
      </c>
      <c r="D56" s="9">
        <v>63</v>
      </c>
      <c r="E56" s="9" t="s">
        <v>93</v>
      </c>
      <c r="F56" s="9">
        <v>100</v>
      </c>
      <c r="G56" s="9" t="s">
        <v>95</v>
      </c>
      <c r="H56" s="10" t="s">
        <v>26</v>
      </c>
    </row>
    <row r="57" spans="2:8" ht="18.75" customHeight="1" thickBot="1" x14ac:dyDescent="0.3">
      <c r="B57" s="103"/>
      <c r="C57" s="61" t="s">
        <v>107</v>
      </c>
      <c r="D57" s="62" t="s">
        <v>155</v>
      </c>
      <c r="E57" s="62" t="s">
        <v>94</v>
      </c>
      <c r="F57" s="62">
        <v>2800</v>
      </c>
      <c r="G57" s="62" t="s">
        <v>95</v>
      </c>
      <c r="H57" s="63" t="s">
        <v>62</v>
      </c>
    </row>
    <row r="58" spans="2:8" ht="18.75" x14ac:dyDescent="0.25">
      <c r="B58" s="107" t="s">
        <v>37</v>
      </c>
      <c r="C58" s="24" t="s">
        <v>107</v>
      </c>
      <c r="D58" s="7">
        <v>110</v>
      </c>
      <c r="E58" s="7" t="s">
        <v>93</v>
      </c>
      <c r="F58" s="7">
        <v>211</v>
      </c>
      <c r="G58" s="7" t="s">
        <v>95</v>
      </c>
      <c r="H58" s="8" t="s">
        <v>25</v>
      </c>
    </row>
    <row r="59" spans="2:8" ht="18.75" x14ac:dyDescent="0.25">
      <c r="B59" s="100"/>
      <c r="C59" s="22" t="s">
        <v>107</v>
      </c>
      <c r="D59" s="9">
        <v>75</v>
      </c>
      <c r="E59" s="9" t="s">
        <v>94</v>
      </c>
      <c r="F59" s="9">
        <v>2297</v>
      </c>
      <c r="G59" s="9" t="s">
        <v>95</v>
      </c>
      <c r="H59" s="10" t="s">
        <v>25</v>
      </c>
    </row>
    <row r="60" spans="2:8" ht="18.75" x14ac:dyDescent="0.25">
      <c r="B60" s="100"/>
      <c r="C60" s="22" t="s">
        <v>107</v>
      </c>
      <c r="D60" s="9">
        <v>63</v>
      </c>
      <c r="E60" s="9" t="s">
        <v>93</v>
      </c>
      <c r="F60" s="9">
        <v>4144.3999999999996</v>
      </c>
      <c r="G60" s="9" t="s">
        <v>95</v>
      </c>
      <c r="H60" s="10" t="s">
        <v>25</v>
      </c>
    </row>
    <row r="61" spans="2:8" ht="18.75" x14ac:dyDescent="0.25">
      <c r="B61" s="100"/>
      <c r="C61" s="22" t="s">
        <v>107</v>
      </c>
      <c r="D61" s="9">
        <v>50</v>
      </c>
      <c r="E61" s="9" t="s">
        <v>93</v>
      </c>
      <c r="F61" s="9">
        <v>15300</v>
      </c>
      <c r="G61" s="9" t="s">
        <v>95</v>
      </c>
      <c r="H61" s="10" t="s">
        <v>25</v>
      </c>
    </row>
    <row r="62" spans="2:8" ht="18.75" x14ac:dyDescent="0.25">
      <c r="B62" s="100"/>
      <c r="C62" s="22" t="s">
        <v>107</v>
      </c>
      <c r="D62" s="9">
        <v>63</v>
      </c>
      <c r="E62" s="9" t="s">
        <v>93</v>
      </c>
      <c r="F62" s="9">
        <v>3008.5</v>
      </c>
      <c r="G62" s="9" t="s">
        <v>95</v>
      </c>
      <c r="H62" s="10" t="s">
        <v>25</v>
      </c>
    </row>
    <row r="63" spans="2:8" ht="18.75" x14ac:dyDescent="0.25">
      <c r="B63" s="100"/>
      <c r="C63" s="22" t="s">
        <v>107</v>
      </c>
      <c r="D63" s="9">
        <v>50</v>
      </c>
      <c r="E63" s="9" t="s">
        <v>93</v>
      </c>
      <c r="F63" s="9">
        <v>1551</v>
      </c>
      <c r="G63" s="9" t="s">
        <v>95</v>
      </c>
      <c r="H63" s="10" t="s">
        <v>25</v>
      </c>
    </row>
    <row r="64" spans="2:8" ht="18.75" x14ac:dyDescent="0.25">
      <c r="B64" s="100"/>
      <c r="C64" s="22" t="s">
        <v>107</v>
      </c>
      <c r="D64" s="9">
        <v>90</v>
      </c>
      <c r="E64" s="9" t="s">
        <v>94</v>
      </c>
      <c r="F64" s="9">
        <v>734</v>
      </c>
      <c r="G64" s="9" t="s">
        <v>95</v>
      </c>
      <c r="H64" s="10" t="s">
        <v>25</v>
      </c>
    </row>
    <row r="65" spans="2:8" ht="18.75" x14ac:dyDescent="0.25">
      <c r="B65" s="100"/>
      <c r="C65" s="22" t="s">
        <v>107</v>
      </c>
      <c r="D65" s="9">
        <v>75</v>
      </c>
      <c r="E65" s="9" t="s">
        <v>94</v>
      </c>
      <c r="F65" s="9">
        <v>140</v>
      </c>
      <c r="G65" s="9" t="s">
        <v>95</v>
      </c>
      <c r="H65" s="10" t="s">
        <v>25</v>
      </c>
    </row>
    <row r="66" spans="2:8" ht="18.75" x14ac:dyDescent="0.25">
      <c r="B66" s="100"/>
      <c r="C66" s="22" t="s">
        <v>107</v>
      </c>
      <c r="D66" s="9">
        <v>63</v>
      </c>
      <c r="E66" s="9" t="s">
        <v>94</v>
      </c>
      <c r="F66" s="9">
        <v>3206</v>
      </c>
      <c r="G66" s="9" t="s">
        <v>95</v>
      </c>
      <c r="H66" s="10" t="s">
        <v>25</v>
      </c>
    </row>
    <row r="67" spans="2:8" ht="18.75" x14ac:dyDescent="0.25">
      <c r="B67" s="100"/>
      <c r="C67" s="22" t="s">
        <v>107</v>
      </c>
      <c r="D67" s="9">
        <v>80</v>
      </c>
      <c r="E67" s="9" t="s">
        <v>97</v>
      </c>
      <c r="F67" s="9">
        <v>2033</v>
      </c>
      <c r="G67" s="9" t="s">
        <v>95</v>
      </c>
      <c r="H67" s="10" t="s">
        <v>26</v>
      </c>
    </row>
    <row r="68" spans="2:8" ht="18.75" x14ac:dyDescent="0.25">
      <c r="B68" s="100"/>
      <c r="C68" s="22" t="s">
        <v>107</v>
      </c>
      <c r="D68" s="9">
        <v>100</v>
      </c>
      <c r="E68" s="9" t="s">
        <v>97</v>
      </c>
      <c r="F68" s="9">
        <v>113</v>
      </c>
      <c r="G68" s="9" t="s">
        <v>95</v>
      </c>
      <c r="H68" s="10" t="s">
        <v>26</v>
      </c>
    </row>
    <row r="69" spans="2:8" ht="18.75" x14ac:dyDescent="0.25">
      <c r="B69" s="100"/>
      <c r="C69" s="22" t="s">
        <v>107</v>
      </c>
      <c r="D69" s="9">
        <v>50</v>
      </c>
      <c r="E69" s="9" t="s">
        <v>94</v>
      </c>
      <c r="F69" s="9">
        <v>150</v>
      </c>
      <c r="G69" s="9" t="s">
        <v>95</v>
      </c>
      <c r="H69" s="10" t="s">
        <v>25</v>
      </c>
    </row>
    <row r="70" spans="2:8" ht="19.5" thickBot="1" x14ac:dyDescent="0.3">
      <c r="B70" s="101"/>
      <c r="C70" s="23" t="s">
        <v>107</v>
      </c>
      <c r="D70" s="11">
        <v>50</v>
      </c>
      <c r="E70" s="11" t="s">
        <v>94</v>
      </c>
      <c r="F70" s="11">
        <v>150</v>
      </c>
      <c r="G70" s="11" t="s">
        <v>95</v>
      </c>
      <c r="H70" s="12" t="s">
        <v>25</v>
      </c>
    </row>
    <row r="71" spans="2:8" ht="18.75" x14ac:dyDescent="0.25">
      <c r="B71" s="102" t="s">
        <v>35</v>
      </c>
      <c r="C71" s="22" t="s">
        <v>107</v>
      </c>
      <c r="D71" s="9">
        <v>100</v>
      </c>
      <c r="E71" s="9" t="s">
        <v>97</v>
      </c>
      <c r="F71" s="9">
        <v>113</v>
      </c>
      <c r="G71" s="9" t="s">
        <v>99</v>
      </c>
      <c r="H71" s="10" t="s">
        <v>26</v>
      </c>
    </row>
    <row r="72" spans="2:8" ht="18.75" x14ac:dyDescent="0.25">
      <c r="B72" s="102"/>
      <c r="C72" s="22" t="s">
        <v>107</v>
      </c>
      <c r="D72" s="9">
        <v>80</v>
      </c>
      <c r="E72" s="9" t="s">
        <v>97</v>
      </c>
      <c r="F72" s="9">
        <v>2023</v>
      </c>
      <c r="G72" s="9" t="s">
        <v>99</v>
      </c>
      <c r="H72" s="10" t="s">
        <v>26</v>
      </c>
    </row>
    <row r="73" spans="2:8" ht="18.75" x14ac:dyDescent="0.25">
      <c r="B73" s="102"/>
      <c r="C73" s="22" t="s">
        <v>107</v>
      </c>
      <c r="D73" s="9">
        <v>60</v>
      </c>
      <c r="E73" s="9" t="s">
        <v>97</v>
      </c>
      <c r="F73" s="9">
        <v>1282</v>
      </c>
      <c r="G73" s="9" t="s">
        <v>99</v>
      </c>
      <c r="H73" s="10" t="s">
        <v>26</v>
      </c>
    </row>
    <row r="74" spans="2:8" ht="18.75" x14ac:dyDescent="0.25">
      <c r="B74" s="102"/>
      <c r="C74" s="22" t="s">
        <v>107</v>
      </c>
      <c r="D74" s="9">
        <v>110</v>
      </c>
      <c r="E74" s="9" t="s">
        <v>93</v>
      </c>
      <c r="F74" s="9">
        <v>2320</v>
      </c>
      <c r="G74" s="9" t="s">
        <v>99</v>
      </c>
      <c r="H74" s="10" t="s">
        <v>26</v>
      </c>
    </row>
    <row r="75" spans="2:8" ht="18.75" x14ac:dyDescent="0.25">
      <c r="B75" s="102"/>
      <c r="C75" s="22" t="s">
        <v>107</v>
      </c>
      <c r="D75" s="9">
        <v>90</v>
      </c>
      <c r="E75" s="9" t="s">
        <v>93</v>
      </c>
      <c r="F75" s="9">
        <v>1292</v>
      </c>
      <c r="G75" s="9" t="s">
        <v>99</v>
      </c>
      <c r="H75" s="10" t="s">
        <v>26</v>
      </c>
    </row>
    <row r="76" spans="2:8" ht="18.75" x14ac:dyDescent="0.25">
      <c r="B76" s="102"/>
      <c r="C76" s="22" t="s">
        <v>107</v>
      </c>
      <c r="D76" s="9">
        <v>75</v>
      </c>
      <c r="E76" s="9" t="s">
        <v>93</v>
      </c>
      <c r="F76" s="9">
        <v>1162</v>
      </c>
      <c r="G76" s="9" t="s">
        <v>99</v>
      </c>
      <c r="H76" s="10" t="s">
        <v>26</v>
      </c>
    </row>
    <row r="77" spans="2:8" ht="18.75" x14ac:dyDescent="0.25">
      <c r="B77" s="102"/>
      <c r="C77" s="22" t="s">
        <v>107</v>
      </c>
      <c r="D77" s="9">
        <v>63</v>
      </c>
      <c r="E77" s="9" t="s">
        <v>93</v>
      </c>
      <c r="F77" s="9">
        <v>3073</v>
      </c>
      <c r="G77" s="9" t="s">
        <v>99</v>
      </c>
      <c r="H77" s="10" t="s">
        <v>26</v>
      </c>
    </row>
    <row r="78" spans="2:8" ht="18.75" x14ac:dyDescent="0.25">
      <c r="B78" s="102"/>
      <c r="C78" s="22" t="s">
        <v>107</v>
      </c>
      <c r="D78" s="9">
        <v>75</v>
      </c>
      <c r="E78" s="9" t="s">
        <v>94</v>
      </c>
      <c r="F78" s="9">
        <v>2145</v>
      </c>
      <c r="G78" s="9" t="s">
        <v>99</v>
      </c>
      <c r="H78" s="10" t="s">
        <v>26</v>
      </c>
    </row>
    <row r="79" spans="2:8" ht="18.75" x14ac:dyDescent="0.25">
      <c r="B79" s="102"/>
      <c r="C79" s="22" t="s">
        <v>107</v>
      </c>
      <c r="D79" s="9">
        <v>63</v>
      </c>
      <c r="E79" s="9" t="s">
        <v>94</v>
      </c>
      <c r="F79" s="9">
        <v>1611</v>
      </c>
      <c r="G79" s="9" t="s">
        <v>99</v>
      </c>
      <c r="H79" s="10" t="s">
        <v>26</v>
      </c>
    </row>
    <row r="80" spans="2:8" ht="18.75" x14ac:dyDescent="0.25">
      <c r="B80" s="102"/>
      <c r="C80" s="22" t="s">
        <v>107</v>
      </c>
      <c r="D80" s="9">
        <v>50</v>
      </c>
      <c r="E80" s="9" t="s">
        <v>94</v>
      </c>
      <c r="F80" s="9">
        <v>6453</v>
      </c>
      <c r="G80" s="9" t="s">
        <v>99</v>
      </c>
      <c r="H80" s="10" t="s">
        <v>26</v>
      </c>
    </row>
    <row r="81" spans="2:8" ht="18.75" x14ac:dyDescent="0.25">
      <c r="B81" s="102"/>
      <c r="C81" s="22" t="s">
        <v>107</v>
      </c>
      <c r="D81" s="9">
        <v>40</v>
      </c>
      <c r="E81" s="9" t="s">
        <v>94</v>
      </c>
      <c r="F81" s="9">
        <v>50</v>
      </c>
      <c r="G81" s="9" t="s">
        <v>99</v>
      </c>
      <c r="H81" s="10" t="s">
        <v>26</v>
      </c>
    </row>
    <row r="82" spans="2:8" ht="18.75" x14ac:dyDescent="0.25">
      <c r="B82" s="102"/>
      <c r="C82" s="22" t="s">
        <v>107</v>
      </c>
      <c r="D82" s="9">
        <v>110</v>
      </c>
      <c r="E82" s="9" t="s">
        <v>93</v>
      </c>
      <c r="F82" s="9">
        <v>2320</v>
      </c>
      <c r="G82" s="9" t="s">
        <v>99</v>
      </c>
      <c r="H82" s="10" t="s">
        <v>62</v>
      </c>
    </row>
    <row r="83" spans="2:8" ht="18.75" x14ac:dyDescent="0.25">
      <c r="B83" s="102"/>
      <c r="C83" s="22" t="s">
        <v>107</v>
      </c>
      <c r="D83" s="9" t="s">
        <v>155</v>
      </c>
      <c r="E83" s="9" t="s">
        <v>155</v>
      </c>
      <c r="F83" s="9">
        <v>2982</v>
      </c>
      <c r="G83" s="9" t="s">
        <v>99</v>
      </c>
      <c r="H83" s="10" t="s">
        <v>26</v>
      </c>
    </row>
    <row r="84" spans="2:8" ht="18.75" x14ac:dyDescent="0.25">
      <c r="B84" s="102"/>
      <c r="C84" s="22" t="s">
        <v>107</v>
      </c>
      <c r="D84" s="9" t="s">
        <v>155</v>
      </c>
      <c r="E84" s="9" t="s">
        <v>155</v>
      </c>
      <c r="F84" s="9">
        <v>5198</v>
      </c>
      <c r="G84" s="9" t="s">
        <v>99</v>
      </c>
      <c r="H84" s="10" t="s">
        <v>26</v>
      </c>
    </row>
    <row r="85" spans="2:8" ht="18.75" x14ac:dyDescent="0.25">
      <c r="B85" s="102"/>
      <c r="C85" s="22" t="s">
        <v>107</v>
      </c>
      <c r="D85" s="9">
        <v>150</v>
      </c>
      <c r="E85" s="9" t="s">
        <v>141</v>
      </c>
      <c r="F85" s="9">
        <v>19.399999999999999</v>
      </c>
      <c r="G85" s="9" t="s">
        <v>99</v>
      </c>
      <c r="H85" s="10" t="s">
        <v>25</v>
      </c>
    </row>
    <row r="86" spans="2:8" ht="18.75" x14ac:dyDescent="0.25">
      <c r="B86" s="102"/>
      <c r="C86" s="22" t="s">
        <v>107</v>
      </c>
      <c r="D86" s="9">
        <v>63</v>
      </c>
      <c r="E86" s="9" t="s">
        <v>94</v>
      </c>
      <c r="F86" s="9">
        <v>2921</v>
      </c>
      <c r="G86" s="9" t="s">
        <v>99</v>
      </c>
      <c r="H86" s="10" t="s">
        <v>62</v>
      </c>
    </row>
    <row r="87" spans="2:8" ht="18.75" x14ac:dyDescent="0.25">
      <c r="B87" s="102"/>
      <c r="C87" s="22" t="s">
        <v>107</v>
      </c>
      <c r="D87" s="9">
        <v>75</v>
      </c>
      <c r="E87" s="9" t="s">
        <v>94</v>
      </c>
      <c r="F87" s="9">
        <v>1158</v>
      </c>
      <c r="G87" s="9" t="s">
        <v>99</v>
      </c>
      <c r="H87" s="10" t="s">
        <v>62</v>
      </c>
    </row>
    <row r="88" spans="2:8" ht="18.75" x14ac:dyDescent="0.25">
      <c r="B88" s="102"/>
      <c r="C88" s="22" t="s">
        <v>107</v>
      </c>
      <c r="D88" s="9">
        <v>60</v>
      </c>
      <c r="E88" s="9" t="s">
        <v>97</v>
      </c>
      <c r="F88" s="9">
        <v>1554</v>
      </c>
      <c r="G88" s="9" t="s">
        <v>99</v>
      </c>
      <c r="H88" s="10" t="s">
        <v>62</v>
      </c>
    </row>
    <row r="89" spans="2:8" ht="18.75" x14ac:dyDescent="0.25">
      <c r="B89" s="102"/>
      <c r="C89" s="22" t="s">
        <v>107</v>
      </c>
      <c r="D89" s="9">
        <v>80</v>
      </c>
      <c r="E89" s="9" t="s">
        <v>97</v>
      </c>
      <c r="F89" s="9">
        <v>2023</v>
      </c>
      <c r="G89" s="9" t="s">
        <v>99</v>
      </c>
      <c r="H89" s="10" t="s">
        <v>62</v>
      </c>
    </row>
    <row r="90" spans="2:8" ht="18.75" x14ac:dyDescent="0.25">
      <c r="B90" s="102"/>
      <c r="C90" s="22" t="s">
        <v>107</v>
      </c>
      <c r="D90" s="9">
        <v>100</v>
      </c>
      <c r="E90" s="9" t="s">
        <v>97</v>
      </c>
      <c r="F90" s="9">
        <v>113</v>
      </c>
      <c r="G90" s="9" t="s">
        <v>99</v>
      </c>
      <c r="H90" s="10" t="s">
        <v>62</v>
      </c>
    </row>
    <row r="91" spans="2:8" ht="18.75" x14ac:dyDescent="0.25">
      <c r="B91" s="102"/>
      <c r="C91" s="22" t="s">
        <v>107</v>
      </c>
      <c r="D91" s="9">
        <v>50</v>
      </c>
      <c r="E91" s="9" t="s">
        <v>94</v>
      </c>
      <c r="F91" s="9">
        <v>70</v>
      </c>
      <c r="G91" s="9" t="s">
        <v>99</v>
      </c>
      <c r="H91" s="10" t="s">
        <v>25</v>
      </c>
    </row>
    <row r="92" spans="2:8" ht="19.5" thickBot="1" x14ac:dyDescent="0.3">
      <c r="B92" s="103"/>
      <c r="C92" s="61" t="s">
        <v>107</v>
      </c>
      <c r="D92" s="62">
        <v>50</v>
      </c>
      <c r="E92" s="62" t="s">
        <v>94</v>
      </c>
      <c r="F92" s="62">
        <v>67</v>
      </c>
      <c r="G92" s="9" t="s">
        <v>99</v>
      </c>
      <c r="H92" s="63" t="s">
        <v>25</v>
      </c>
    </row>
    <row r="93" spans="2:8" ht="18.75" x14ac:dyDescent="0.25">
      <c r="B93" s="111" t="s">
        <v>153</v>
      </c>
      <c r="C93" s="24" t="s">
        <v>107</v>
      </c>
      <c r="D93" s="7">
        <v>125</v>
      </c>
      <c r="E93" s="7" t="s">
        <v>93</v>
      </c>
      <c r="F93" s="7">
        <v>1677</v>
      </c>
      <c r="G93" s="7" t="s">
        <v>99</v>
      </c>
      <c r="H93" s="8" t="s">
        <v>25</v>
      </c>
    </row>
    <row r="94" spans="2:8" ht="18.75" x14ac:dyDescent="0.25">
      <c r="B94" s="102"/>
      <c r="C94" s="22" t="s">
        <v>107</v>
      </c>
      <c r="D94" s="9">
        <v>110</v>
      </c>
      <c r="E94" s="9" t="s">
        <v>93</v>
      </c>
      <c r="F94" s="9">
        <v>782</v>
      </c>
      <c r="G94" s="9" t="s">
        <v>99</v>
      </c>
      <c r="H94" s="10" t="s">
        <v>25</v>
      </c>
    </row>
    <row r="95" spans="2:8" ht="18.75" x14ac:dyDescent="0.25">
      <c r="B95" s="102"/>
      <c r="C95" s="22" t="s">
        <v>107</v>
      </c>
      <c r="D95" s="9">
        <v>90</v>
      </c>
      <c r="E95" s="9" t="s">
        <v>94</v>
      </c>
      <c r="F95" s="9">
        <v>271</v>
      </c>
      <c r="G95" s="9" t="s">
        <v>99</v>
      </c>
      <c r="H95" s="10" t="s">
        <v>25</v>
      </c>
    </row>
    <row r="96" spans="2:8" ht="23.25" customHeight="1" x14ac:dyDescent="0.25">
      <c r="B96" s="102"/>
      <c r="C96" s="22" t="s">
        <v>107</v>
      </c>
      <c r="D96" s="9">
        <v>75</v>
      </c>
      <c r="E96" s="9" t="s">
        <v>94</v>
      </c>
      <c r="F96" s="9">
        <v>3436</v>
      </c>
      <c r="G96" s="9" t="s">
        <v>99</v>
      </c>
      <c r="H96" s="10" t="s">
        <v>25</v>
      </c>
    </row>
    <row r="97" spans="2:8" ht="23.25" customHeight="1" x14ac:dyDescent="0.25">
      <c r="B97" s="102"/>
      <c r="C97" s="22" t="s">
        <v>107</v>
      </c>
      <c r="D97" s="9">
        <v>63</v>
      </c>
      <c r="E97" s="9" t="s">
        <v>94</v>
      </c>
      <c r="F97" s="9">
        <v>12272</v>
      </c>
      <c r="G97" s="9" t="s">
        <v>99</v>
      </c>
      <c r="H97" s="10" t="s">
        <v>25</v>
      </c>
    </row>
    <row r="98" spans="2:8" ht="23.25" customHeight="1" x14ac:dyDescent="0.25">
      <c r="B98" s="102"/>
      <c r="C98" s="22" t="s">
        <v>107</v>
      </c>
      <c r="D98" s="9">
        <v>50</v>
      </c>
      <c r="E98" s="9" t="s">
        <v>94</v>
      </c>
      <c r="F98" s="9">
        <v>4519</v>
      </c>
      <c r="G98" s="9" t="s">
        <v>99</v>
      </c>
      <c r="H98" s="10" t="s">
        <v>25</v>
      </c>
    </row>
    <row r="99" spans="2:8" ht="23.25" customHeight="1" thickBot="1" x14ac:dyDescent="0.3">
      <c r="B99" s="103"/>
      <c r="C99" s="23" t="s">
        <v>107</v>
      </c>
      <c r="D99" s="11">
        <v>60</v>
      </c>
      <c r="E99" s="11" t="s">
        <v>141</v>
      </c>
      <c r="F99" s="11">
        <v>186</v>
      </c>
      <c r="G99" s="11" t="s">
        <v>99</v>
      </c>
      <c r="H99" s="12" t="s">
        <v>25</v>
      </c>
    </row>
    <row r="100" spans="2:8" ht="18.75" x14ac:dyDescent="0.25">
      <c r="B100" s="100" t="s">
        <v>29</v>
      </c>
      <c r="C100" s="24" t="s">
        <v>107</v>
      </c>
      <c r="D100" s="7">
        <v>63</v>
      </c>
      <c r="E100" s="7" t="s">
        <v>94</v>
      </c>
      <c r="F100" s="7">
        <v>78</v>
      </c>
      <c r="G100" s="7" t="s">
        <v>95</v>
      </c>
      <c r="H100" s="8" t="s">
        <v>25</v>
      </c>
    </row>
    <row r="101" spans="2:8" ht="18.75" x14ac:dyDescent="0.25">
      <c r="B101" s="100"/>
      <c r="C101" s="22" t="s">
        <v>107</v>
      </c>
      <c r="D101" s="9">
        <v>63</v>
      </c>
      <c r="E101" s="9" t="s">
        <v>94</v>
      </c>
      <c r="F101" s="9">
        <v>140</v>
      </c>
      <c r="G101" s="9" t="s">
        <v>95</v>
      </c>
      <c r="H101" s="10" t="s">
        <v>25</v>
      </c>
    </row>
    <row r="102" spans="2:8" ht="18.75" x14ac:dyDescent="0.25">
      <c r="B102" s="100"/>
      <c r="C102" s="22" t="s">
        <v>107</v>
      </c>
      <c r="D102" s="9">
        <v>63</v>
      </c>
      <c r="E102" s="9" t="s">
        <v>94</v>
      </c>
      <c r="F102" s="9">
        <v>1500</v>
      </c>
      <c r="G102" s="9" t="s">
        <v>95</v>
      </c>
      <c r="H102" s="10" t="s">
        <v>25</v>
      </c>
    </row>
    <row r="103" spans="2:8" ht="18.75" x14ac:dyDescent="0.25">
      <c r="B103" s="100"/>
      <c r="C103" s="22" t="s">
        <v>107</v>
      </c>
      <c r="D103" s="9">
        <v>63</v>
      </c>
      <c r="E103" s="9" t="s">
        <v>94</v>
      </c>
      <c r="F103" s="9">
        <v>600</v>
      </c>
      <c r="G103" s="9" t="s">
        <v>95</v>
      </c>
      <c r="H103" s="10" t="s">
        <v>25</v>
      </c>
    </row>
    <row r="104" spans="2:8" ht="18.75" x14ac:dyDescent="0.25">
      <c r="B104" s="100"/>
      <c r="C104" s="22" t="s">
        <v>107</v>
      </c>
      <c r="D104" s="9">
        <v>200</v>
      </c>
      <c r="E104" s="9" t="s">
        <v>93</v>
      </c>
      <c r="F104" s="9">
        <v>4163.13</v>
      </c>
      <c r="G104" s="9" t="s">
        <v>99</v>
      </c>
      <c r="H104" s="10" t="s">
        <v>26</v>
      </c>
    </row>
    <row r="105" spans="2:8" ht="18.75" x14ac:dyDescent="0.25">
      <c r="B105" s="100"/>
      <c r="C105" s="22" t="s">
        <v>107</v>
      </c>
      <c r="D105" s="9">
        <v>160</v>
      </c>
      <c r="E105" s="9" t="s">
        <v>93</v>
      </c>
      <c r="F105" s="9">
        <v>4599.41</v>
      </c>
      <c r="G105" s="9" t="s">
        <v>99</v>
      </c>
      <c r="H105" s="10" t="s">
        <v>26</v>
      </c>
    </row>
    <row r="106" spans="2:8" ht="18.75" x14ac:dyDescent="0.25">
      <c r="B106" s="100"/>
      <c r="C106" s="22" t="s">
        <v>107</v>
      </c>
      <c r="D106" s="9">
        <v>110</v>
      </c>
      <c r="E106" s="9" t="s">
        <v>93</v>
      </c>
      <c r="F106" s="9">
        <v>2435.1999999999998</v>
      </c>
      <c r="G106" s="9" t="s">
        <v>99</v>
      </c>
      <c r="H106" s="10" t="s">
        <v>26</v>
      </c>
    </row>
    <row r="107" spans="2:8" ht="18.75" x14ac:dyDescent="0.25">
      <c r="B107" s="100"/>
      <c r="C107" s="22" t="s">
        <v>107</v>
      </c>
      <c r="D107" s="9">
        <v>90</v>
      </c>
      <c r="E107" s="9" t="s">
        <v>94</v>
      </c>
      <c r="F107" s="9">
        <v>2799.63</v>
      </c>
      <c r="G107" s="9" t="s">
        <v>99</v>
      </c>
      <c r="H107" s="10" t="s">
        <v>26</v>
      </c>
    </row>
    <row r="108" spans="2:8" ht="18.75" x14ac:dyDescent="0.25">
      <c r="B108" s="100"/>
      <c r="C108" s="22" t="s">
        <v>107</v>
      </c>
      <c r="D108" s="9">
        <v>75</v>
      </c>
      <c r="E108" s="9" t="s">
        <v>94</v>
      </c>
      <c r="F108" s="9">
        <v>6904.63</v>
      </c>
      <c r="G108" s="9" t="s">
        <v>99</v>
      </c>
      <c r="H108" s="10" t="s">
        <v>26</v>
      </c>
    </row>
    <row r="109" spans="2:8" ht="18.75" x14ac:dyDescent="0.25">
      <c r="B109" s="100"/>
      <c r="C109" s="22" t="s">
        <v>107</v>
      </c>
      <c r="D109" s="9">
        <v>63</v>
      </c>
      <c r="E109" s="9" t="s">
        <v>94</v>
      </c>
      <c r="F109" s="9">
        <v>1269.28</v>
      </c>
      <c r="G109" s="9" t="s">
        <v>99</v>
      </c>
      <c r="H109" s="10" t="s">
        <v>26</v>
      </c>
    </row>
    <row r="110" spans="2:8" ht="18.75" x14ac:dyDescent="0.25">
      <c r="B110" s="100"/>
      <c r="C110" s="22" t="s">
        <v>107</v>
      </c>
      <c r="D110" s="9">
        <v>50</v>
      </c>
      <c r="E110" s="9" t="s">
        <v>94</v>
      </c>
      <c r="F110" s="9">
        <v>1933.42</v>
      </c>
      <c r="G110" s="9" t="s">
        <v>99</v>
      </c>
      <c r="H110" s="10" t="s">
        <v>26</v>
      </c>
    </row>
    <row r="111" spans="2:8" ht="18.75" x14ac:dyDescent="0.25">
      <c r="B111" s="100"/>
      <c r="C111" s="22" t="s">
        <v>107</v>
      </c>
      <c r="D111" s="9">
        <v>63</v>
      </c>
      <c r="E111" s="9" t="s">
        <v>94</v>
      </c>
      <c r="F111" s="9">
        <v>120</v>
      </c>
      <c r="G111" s="9" t="s">
        <v>95</v>
      </c>
      <c r="H111" s="10" t="s">
        <v>25</v>
      </c>
    </row>
    <row r="112" spans="2:8" ht="19.5" thickBot="1" x14ac:dyDescent="0.3">
      <c r="B112" s="100"/>
      <c r="C112" s="23" t="s">
        <v>107</v>
      </c>
      <c r="D112" s="11">
        <v>50</v>
      </c>
      <c r="E112" s="11" t="s">
        <v>94</v>
      </c>
      <c r="F112" s="11">
        <v>102</v>
      </c>
      <c r="G112" s="11" t="s">
        <v>95</v>
      </c>
      <c r="H112" s="12" t="s">
        <v>25</v>
      </c>
    </row>
    <row r="113" spans="2:8" ht="18.75" x14ac:dyDescent="0.25">
      <c r="B113" s="111" t="s">
        <v>41</v>
      </c>
      <c r="C113" s="13" t="s">
        <v>107</v>
      </c>
      <c r="D113" s="64">
        <v>225</v>
      </c>
      <c r="E113" s="64" t="s">
        <v>93</v>
      </c>
      <c r="F113" s="64">
        <v>4565.28</v>
      </c>
      <c r="G113" s="64" t="s">
        <v>95</v>
      </c>
      <c r="H113" s="65" t="s">
        <v>25</v>
      </c>
    </row>
    <row r="114" spans="2:8" ht="18.75" x14ac:dyDescent="0.25">
      <c r="B114" s="102"/>
      <c r="C114" s="22" t="s">
        <v>107</v>
      </c>
      <c r="D114" s="9">
        <v>160</v>
      </c>
      <c r="E114" s="9" t="s">
        <v>93</v>
      </c>
      <c r="F114" s="9">
        <v>2880</v>
      </c>
      <c r="G114" s="9" t="s">
        <v>95</v>
      </c>
      <c r="H114" s="10" t="s">
        <v>25</v>
      </c>
    </row>
    <row r="115" spans="2:8" ht="18.75" x14ac:dyDescent="0.25">
      <c r="B115" s="102"/>
      <c r="C115" s="22" t="s">
        <v>107</v>
      </c>
      <c r="D115" s="9">
        <v>315</v>
      </c>
      <c r="E115" s="9" t="s">
        <v>93</v>
      </c>
      <c r="F115" s="9">
        <v>320</v>
      </c>
      <c r="G115" s="9" t="s">
        <v>95</v>
      </c>
      <c r="H115" s="10" t="s">
        <v>25</v>
      </c>
    </row>
    <row r="116" spans="2:8" ht="18.75" x14ac:dyDescent="0.25">
      <c r="B116" s="102"/>
      <c r="C116" s="22" t="s">
        <v>107</v>
      </c>
      <c r="D116" s="9">
        <v>140</v>
      </c>
      <c r="E116" s="9" t="s">
        <v>93</v>
      </c>
      <c r="F116" s="9">
        <v>1924</v>
      </c>
      <c r="G116" s="9" t="s">
        <v>95</v>
      </c>
      <c r="H116" s="10" t="s">
        <v>25</v>
      </c>
    </row>
    <row r="117" spans="2:8" ht="18.75" x14ac:dyDescent="0.25">
      <c r="B117" s="102"/>
      <c r="C117" s="22" t="s">
        <v>107</v>
      </c>
      <c r="D117" s="9">
        <v>110</v>
      </c>
      <c r="E117" s="9" t="s">
        <v>93</v>
      </c>
      <c r="F117" s="9">
        <v>740.32</v>
      </c>
      <c r="G117" s="9" t="s">
        <v>95</v>
      </c>
      <c r="H117" s="10" t="s">
        <v>25</v>
      </c>
    </row>
    <row r="118" spans="2:8" ht="18.75" x14ac:dyDescent="0.25">
      <c r="B118" s="102"/>
      <c r="C118" s="22" t="s">
        <v>107</v>
      </c>
      <c r="D118" s="9">
        <v>90</v>
      </c>
      <c r="E118" s="9" t="s">
        <v>93</v>
      </c>
      <c r="F118" s="9">
        <v>2251</v>
      </c>
      <c r="G118" s="9" t="s">
        <v>95</v>
      </c>
      <c r="H118" s="10" t="s">
        <v>25</v>
      </c>
    </row>
    <row r="119" spans="2:8" ht="18.75" x14ac:dyDescent="0.25">
      <c r="B119" s="102"/>
      <c r="C119" s="22" t="s">
        <v>107</v>
      </c>
      <c r="D119" s="9">
        <v>90</v>
      </c>
      <c r="E119" s="9" t="s">
        <v>93</v>
      </c>
      <c r="F119" s="9">
        <v>1416.64</v>
      </c>
      <c r="G119" s="9" t="s">
        <v>95</v>
      </c>
      <c r="H119" s="10" t="s">
        <v>25</v>
      </c>
    </row>
    <row r="120" spans="2:8" ht="18.75" x14ac:dyDescent="0.25">
      <c r="B120" s="102"/>
      <c r="C120" s="22" t="s">
        <v>107</v>
      </c>
      <c r="D120" s="9">
        <v>75</v>
      </c>
      <c r="E120" s="9" t="s">
        <v>93</v>
      </c>
      <c r="F120" s="9">
        <v>2878.53</v>
      </c>
      <c r="G120" s="9" t="s">
        <v>95</v>
      </c>
      <c r="H120" s="10" t="s">
        <v>25</v>
      </c>
    </row>
    <row r="121" spans="2:8" ht="18.75" x14ac:dyDescent="0.25">
      <c r="B121" s="102"/>
      <c r="C121" s="22" t="s">
        <v>107</v>
      </c>
      <c r="D121" s="9">
        <v>63</v>
      </c>
      <c r="E121" s="9" t="s">
        <v>93</v>
      </c>
      <c r="F121" s="9">
        <v>18882.55</v>
      </c>
      <c r="G121" s="9" t="s">
        <v>95</v>
      </c>
      <c r="H121" s="10" t="s">
        <v>25</v>
      </c>
    </row>
    <row r="122" spans="2:8" ht="18.75" x14ac:dyDescent="0.25">
      <c r="B122" s="102"/>
      <c r="C122" s="22" t="s">
        <v>107</v>
      </c>
      <c r="D122" s="9">
        <v>125</v>
      </c>
      <c r="E122" s="9" t="s">
        <v>141</v>
      </c>
      <c r="F122" s="9">
        <v>147.19999999999999</v>
      </c>
      <c r="G122" s="9" t="s">
        <v>95</v>
      </c>
      <c r="H122" s="10" t="s">
        <v>25</v>
      </c>
    </row>
    <row r="123" spans="2:8" ht="19.5" thickBot="1" x14ac:dyDescent="0.3">
      <c r="B123" s="103"/>
      <c r="C123" s="61" t="s">
        <v>107</v>
      </c>
      <c r="D123" s="62">
        <v>80</v>
      </c>
      <c r="E123" s="62" t="s">
        <v>141</v>
      </c>
      <c r="F123" s="62">
        <v>101.25</v>
      </c>
      <c r="G123" s="62" t="s">
        <v>95</v>
      </c>
      <c r="H123" s="63" t="s">
        <v>25</v>
      </c>
    </row>
    <row r="124" spans="2:8" ht="18.75" x14ac:dyDescent="0.25">
      <c r="B124" s="111" t="s">
        <v>130</v>
      </c>
      <c r="C124" s="49" t="s">
        <v>107</v>
      </c>
      <c r="D124" s="18">
        <v>75</v>
      </c>
      <c r="E124" s="18" t="s">
        <v>93</v>
      </c>
      <c r="F124" s="18">
        <v>279</v>
      </c>
      <c r="G124" s="18" t="s">
        <v>92</v>
      </c>
      <c r="H124" s="50" t="s">
        <v>26</v>
      </c>
    </row>
    <row r="125" spans="2:8" ht="18.75" x14ac:dyDescent="0.25">
      <c r="B125" s="102"/>
      <c r="C125" s="51" t="s">
        <v>107</v>
      </c>
      <c r="D125" s="19">
        <v>125</v>
      </c>
      <c r="E125" s="19" t="s">
        <v>93</v>
      </c>
      <c r="F125" s="19">
        <v>290</v>
      </c>
      <c r="G125" s="19" t="s">
        <v>95</v>
      </c>
      <c r="H125" s="52" t="s">
        <v>26</v>
      </c>
    </row>
    <row r="126" spans="2:8" ht="18.75" x14ac:dyDescent="0.25">
      <c r="B126" s="102"/>
      <c r="C126" s="51" t="s">
        <v>107</v>
      </c>
      <c r="D126" s="19">
        <v>110</v>
      </c>
      <c r="E126" s="19" t="s">
        <v>93</v>
      </c>
      <c r="F126" s="19">
        <v>232</v>
      </c>
      <c r="G126" s="19" t="s">
        <v>95</v>
      </c>
      <c r="H126" s="52" t="s">
        <v>26</v>
      </c>
    </row>
    <row r="127" spans="2:8" ht="18.75" x14ac:dyDescent="0.25">
      <c r="B127" s="102"/>
      <c r="C127" s="51" t="s">
        <v>107</v>
      </c>
      <c r="D127" s="19">
        <v>90</v>
      </c>
      <c r="E127" s="19" t="s">
        <v>93</v>
      </c>
      <c r="F127" s="19">
        <v>2491</v>
      </c>
      <c r="G127" s="19" t="s">
        <v>95</v>
      </c>
      <c r="H127" s="52" t="s">
        <v>26</v>
      </c>
    </row>
    <row r="128" spans="2:8" ht="18.75" x14ac:dyDescent="0.25">
      <c r="B128" s="102"/>
      <c r="C128" s="51" t="s">
        <v>107</v>
      </c>
      <c r="D128" s="19">
        <v>75</v>
      </c>
      <c r="E128" s="19" t="s">
        <v>93</v>
      </c>
      <c r="F128" s="19">
        <v>1668</v>
      </c>
      <c r="G128" s="19" t="s">
        <v>95</v>
      </c>
      <c r="H128" s="52" t="s">
        <v>26</v>
      </c>
    </row>
    <row r="129" spans="2:8" ht="18.75" x14ac:dyDescent="0.25">
      <c r="B129" s="102"/>
      <c r="C129" s="51" t="s">
        <v>107</v>
      </c>
      <c r="D129" s="19">
        <v>63</v>
      </c>
      <c r="E129" s="19" t="s">
        <v>93</v>
      </c>
      <c r="F129" s="19">
        <v>2278.4</v>
      </c>
      <c r="G129" s="19" t="s">
        <v>95</v>
      </c>
      <c r="H129" s="52" t="s">
        <v>26</v>
      </c>
    </row>
    <row r="130" spans="2:8" ht="18.75" x14ac:dyDescent="0.25">
      <c r="B130" s="102"/>
      <c r="C130" s="51" t="s">
        <v>107</v>
      </c>
      <c r="D130" s="19">
        <v>50</v>
      </c>
      <c r="E130" s="19" t="s">
        <v>94</v>
      </c>
      <c r="F130" s="19">
        <v>4958.5</v>
      </c>
      <c r="G130" s="19" t="s">
        <v>95</v>
      </c>
      <c r="H130" s="52" t="s">
        <v>26</v>
      </c>
    </row>
    <row r="131" spans="2:8" ht="19.5" thickBot="1" x14ac:dyDescent="0.3">
      <c r="B131" s="102"/>
      <c r="C131" s="55" t="s">
        <v>107</v>
      </c>
      <c r="D131" s="56">
        <v>110</v>
      </c>
      <c r="E131" s="56" t="s">
        <v>93</v>
      </c>
      <c r="F131" s="56">
        <v>12</v>
      </c>
      <c r="G131" s="56" t="s">
        <v>95</v>
      </c>
      <c r="H131" s="58" t="s">
        <v>25</v>
      </c>
    </row>
    <row r="132" spans="2:8" ht="18.75" x14ac:dyDescent="0.25">
      <c r="B132" s="108" t="s">
        <v>30</v>
      </c>
      <c r="C132" s="49" t="s">
        <v>107</v>
      </c>
      <c r="D132" s="18">
        <v>75</v>
      </c>
      <c r="E132" s="18" t="s">
        <v>93</v>
      </c>
      <c r="F132" s="18">
        <v>617</v>
      </c>
      <c r="G132" s="19" t="s">
        <v>95</v>
      </c>
      <c r="H132" s="50" t="s">
        <v>26</v>
      </c>
    </row>
    <row r="133" spans="2:8" ht="18.75" x14ac:dyDescent="0.25">
      <c r="B133" s="109"/>
      <c r="C133" s="51" t="s">
        <v>107</v>
      </c>
      <c r="D133" s="19">
        <v>160</v>
      </c>
      <c r="E133" s="19" t="s">
        <v>93</v>
      </c>
      <c r="F133" s="19">
        <v>344</v>
      </c>
      <c r="G133" s="19" t="s">
        <v>95</v>
      </c>
      <c r="H133" s="52" t="s">
        <v>26</v>
      </c>
    </row>
    <row r="134" spans="2:8" ht="18.75" x14ac:dyDescent="0.25">
      <c r="B134" s="109"/>
      <c r="C134" s="51" t="s">
        <v>107</v>
      </c>
      <c r="D134" s="19">
        <v>80</v>
      </c>
      <c r="E134" s="19" t="s">
        <v>141</v>
      </c>
      <c r="F134" s="19">
        <v>415</v>
      </c>
      <c r="G134" s="19" t="s">
        <v>95</v>
      </c>
      <c r="H134" s="52" t="s">
        <v>26</v>
      </c>
    </row>
    <row r="135" spans="2:8" ht="18.75" x14ac:dyDescent="0.25">
      <c r="B135" s="109"/>
      <c r="C135" s="51" t="s">
        <v>107</v>
      </c>
      <c r="D135" s="19">
        <v>60</v>
      </c>
      <c r="E135" s="19" t="s">
        <v>141</v>
      </c>
      <c r="F135" s="19">
        <v>13</v>
      </c>
      <c r="G135" s="19" t="s">
        <v>95</v>
      </c>
      <c r="H135" s="52" t="s">
        <v>26</v>
      </c>
    </row>
    <row r="136" spans="2:8" ht="18.75" x14ac:dyDescent="0.25">
      <c r="B136" s="109"/>
      <c r="C136" s="51" t="s">
        <v>107</v>
      </c>
      <c r="D136" s="19">
        <v>150</v>
      </c>
      <c r="E136" s="19" t="s">
        <v>97</v>
      </c>
      <c r="F136" s="19">
        <v>299</v>
      </c>
      <c r="G136" s="19" t="s">
        <v>95</v>
      </c>
      <c r="H136" s="52" t="s">
        <v>26</v>
      </c>
    </row>
    <row r="137" spans="2:8" ht="18.75" x14ac:dyDescent="0.25">
      <c r="B137" s="109"/>
      <c r="C137" s="51" t="s">
        <v>107</v>
      </c>
      <c r="D137" s="19">
        <v>100</v>
      </c>
      <c r="E137" s="19" t="s">
        <v>97</v>
      </c>
      <c r="F137" s="19">
        <v>4408</v>
      </c>
      <c r="G137" s="19" t="s">
        <v>95</v>
      </c>
      <c r="H137" s="52" t="s">
        <v>26</v>
      </c>
    </row>
    <row r="138" spans="2:8" ht="18.75" x14ac:dyDescent="0.25">
      <c r="B138" s="109"/>
      <c r="C138" s="51" t="s">
        <v>107</v>
      </c>
      <c r="D138" s="19">
        <v>80</v>
      </c>
      <c r="E138" s="19" t="s">
        <v>97</v>
      </c>
      <c r="F138" s="19">
        <v>3709</v>
      </c>
      <c r="G138" s="19" t="s">
        <v>95</v>
      </c>
      <c r="H138" s="52" t="s">
        <v>26</v>
      </c>
    </row>
    <row r="139" spans="2:8" ht="18.75" x14ac:dyDescent="0.25">
      <c r="B139" s="109"/>
      <c r="C139" s="51" t="s">
        <v>107</v>
      </c>
      <c r="D139" s="19">
        <v>60</v>
      </c>
      <c r="E139" s="19" t="s">
        <v>97</v>
      </c>
      <c r="F139" s="19">
        <v>15499</v>
      </c>
      <c r="G139" s="19" t="s">
        <v>95</v>
      </c>
      <c r="H139" s="52" t="s">
        <v>26</v>
      </c>
    </row>
    <row r="140" spans="2:8" ht="18.75" x14ac:dyDescent="0.25">
      <c r="B140" s="109"/>
      <c r="C140" s="51" t="s">
        <v>107</v>
      </c>
      <c r="D140" s="19">
        <v>200</v>
      </c>
      <c r="E140" s="19" t="s">
        <v>93</v>
      </c>
      <c r="F140" s="19">
        <v>285</v>
      </c>
      <c r="G140" s="19" t="s">
        <v>95</v>
      </c>
      <c r="H140" s="52" t="s">
        <v>26</v>
      </c>
    </row>
    <row r="141" spans="2:8" ht="18.75" x14ac:dyDescent="0.25">
      <c r="B141" s="109"/>
      <c r="C141" s="51" t="s">
        <v>107</v>
      </c>
      <c r="D141" s="19">
        <v>160</v>
      </c>
      <c r="E141" s="19" t="s">
        <v>93</v>
      </c>
      <c r="F141" s="19">
        <v>155</v>
      </c>
      <c r="G141" s="19" t="s">
        <v>95</v>
      </c>
      <c r="H141" s="52" t="s">
        <v>26</v>
      </c>
    </row>
    <row r="142" spans="2:8" ht="18.75" x14ac:dyDescent="0.25">
      <c r="B142" s="109"/>
      <c r="C142" s="51" t="s">
        <v>107</v>
      </c>
      <c r="D142" s="19">
        <v>110</v>
      </c>
      <c r="E142" s="19" t="s">
        <v>93</v>
      </c>
      <c r="F142" s="19">
        <v>773</v>
      </c>
      <c r="G142" s="19" t="s">
        <v>95</v>
      </c>
      <c r="H142" s="52" t="s">
        <v>26</v>
      </c>
    </row>
    <row r="143" spans="2:8" ht="18.75" x14ac:dyDescent="0.25">
      <c r="B143" s="109"/>
      <c r="C143" s="51" t="s">
        <v>107</v>
      </c>
      <c r="D143" s="19">
        <v>90</v>
      </c>
      <c r="E143" s="19" t="s">
        <v>93</v>
      </c>
      <c r="F143" s="19">
        <v>218</v>
      </c>
      <c r="G143" s="19" t="s">
        <v>95</v>
      </c>
      <c r="H143" s="52" t="s">
        <v>26</v>
      </c>
    </row>
    <row r="144" spans="2:8" ht="18.75" thickBot="1" x14ac:dyDescent="0.3">
      <c r="B144" s="109"/>
      <c r="C144" s="51" t="s">
        <v>107</v>
      </c>
      <c r="D144" s="19">
        <v>75</v>
      </c>
      <c r="E144" s="19" t="s">
        <v>93</v>
      </c>
      <c r="F144" s="19">
        <v>221</v>
      </c>
      <c r="G144" s="19" t="s">
        <v>95</v>
      </c>
      <c r="H144" s="52" t="s">
        <v>26</v>
      </c>
    </row>
    <row r="145" spans="2:8" ht="18.75" thickBot="1" x14ac:dyDescent="0.3">
      <c r="B145" s="109"/>
      <c r="C145" s="51" t="s">
        <v>107</v>
      </c>
      <c r="D145" s="19">
        <v>63</v>
      </c>
      <c r="E145" s="19" t="s">
        <v>93</v>
      </c>
      <c r="F145" s="19">
        <v>8226</v>
      </c>
      <c r="G145" s="19" t="s">
        <v>95</v>
      </c>
      <c r="H145" s="52" t="s">
        <v>26</v>
      </c>
    </row>
    <row r="146" spans="2:8" ht="18.75" thickBot="1" x14ac:dyDescent="0.3">
      <c r="B146" s="109"/>
      <c r="C146" s="51" t="s">
        <v>107</v>
      </c>
      <c r="D146" s="19">
        <v>63</v>
      </c>
      <c r="E146" s="19" t="s">
        <v>94</v>
      </c>
      <c r="F146" s="19">
        <v>852</v>
      </c>
      <c r="G146" s="19" t="s">
        <v>95</v>
      </c>
      <c r="H146" s="52" t="s">
        <v>26</v>
      </c>
    </row>
    <row r="147" spans="2:8" ht="18.75" thickBot="1" x14ac:dyDescent="0.3">
      <c r="B147" s="109"/>
      <c r="C147" s="51" t="s">
        <v>107</v>
      </c>
      <c r="D147" s="19">
        <v>50</v>
      </c>
      <c r="E147" s="19" t="s">
        <v>94</v>
      </c>
      <c r="F147" s="19">
        <v>6432</v>
      </c>
      <c r="G147" s="19" t="s">
        <v>95</v>
      </c>
      <c r="H147" s="52" t="s">
        <v>26</v>
      </c>
    </row>
    <row r="148" spans="2:8" ht="18.75" thickBot="1" x14ac:dyDescent="0.3">
      <c r="B148" s="109"/>
      <c r="C148" s="51" t="s">
        <v>107</v>
      </c>
      <c r="D148" s="19">
        <v>140</v>
      </c>
      <c r="E148" s="19" t="s">
        <v>93</v>
      </c>
      <c r="F148" s="19">
        <v>230</v>
      </c>
      <c r="G148" s="19" t="s">
        <v>95</v>
      </c>
      <c r="H148" s="52" t="s">
        <v>98</v>
      </c>
    </row>
    <row r="149" spans="2:8" ht="18.75" thickBot="1" x14ac:dyDescent="0.3">
      <c r="B149" s="109"/>
      <c r="C149" s="51" t="s">
        <v>107</v>
      </c>
      <c r="D149" s="19">
        <v>63</v>
      </c>
      <c r="E149" s="19" t="s">
        <v>93</v>
      </c>
      <c r="F149" s="19">
        <v>1131.5</v>
      </c>
      <c r="G149" s="19" t="s">
        <v>95</v>
      </c>
      <c r="H149" s="52" t="s">
        <v>26</v>
      </c>
    </row>
    <row r="150" spans="2:8" ht="18.75" thickBot="1" x14ac:dyDescent="0.3">
      <c r="B150" s="109"/>
      <c r="C150" s="51" t="s">
        <v>107</v>
      </c>
      <c r="D150" s="19">
        <v>75</v>
      </c>
      <c r="E150" s="19" t="s">
        <v>93</v>
      </c>
      <c r="F150" s="19">
        <v>221</v>
      </c>
      <c r="G150" s="19" t="s">
        <v>95</v>
      </c>
      <c r="H150" s="52" t="s">
        <v>26</v>
      </c>
    </row>
    <row r="151" spans="2:8" ht="18.75" thickBot="1" x14ac:dyDescent="0.3">
      <c r="B151" s="109"/>
      <c r="C151" s="51" t="s">
        <v>107</v>
      </c>
      <c r="D151" s="19">
        <v>90</v>
      </c>
      <c r="E151" s="19" t="s">
        <v>93</v>
      </c>
      <c r="F151" s="19">
        <v>218</v>
      </c>
      <c r="G151" s="19" t="s">
        <v>95</v>
      </c>
      <c r="H151" s="52" t="s">
        <v>98</v>
      </c>
    </row>
    <row r="152" spans="2:8" ht="18.75" thickBot="1" x14ac:dyDescent="0.3">
      <c r="B152" s="109"/>
      <c r="C152" s="51" t="s">
        <v>107</v>
      </c>
      <c r="D152" s="19">
        <v>63</v>
      </c>
      <c r="E152" s="19" t="s">
        <v>94</v>
      </c>
      <c r="F152" s="19">
        <v>4560.5</v>
      </c>
      <c r="G152" s="19" t="s">
        <v>95</v>
      </c>
      <c r="H152" s="52" t="s">
        <v>98</v>
      </c>
    </row>
    <row r="153" spans="2:8" ht="18.75" thickBot="1" x14ac:dyDescent="0.3">
      <c r="B153" s="109"/>
      <c r="C153" s="51" t="s">
        <v>107</v>
      </c>
      <c r="D153" s="19">
        <v>63</v>
      </c>
      <c r="E153" s="19" t="s">
        <v>94</v>
      </c>
      <c r="F153" s="19">
        <v>10117</v>
      </c>
      <c r="G153" s="19" t="s">
        <v>95</v>
      </c>
      <c r="H153" s="52" t="s">
        <v>98</v>
      </c>
    </row>
    <row r="154" spans="2:8" ht="19.5" thickBot="1" x14ac:dyDescent="0.3">
      <c r="B154" s="110"/>
      <c r="C154" s="53" t="s">
        <v>107</v>
      </c>
      <c r="D154" s="20">
        <v>60</v>
      </c>
      <c r="E154" s="20" t="s">
        <v>141</v>
      </c>
      <c r="F154" s="20">
        <v>30</v>
      </c>
      <c r="G154" s="20" t="s">
        <v>95</v>
      </c>
      <c r="H154" s="54" t="s">
        <v>98</v>
      </c>
    </row>
    <row r="155" spans="2:8" ht="18.75" thickBot="1" x14ac:dyDescent="0.3">
      <c r="B155" s="111" t="s">
        <v>108</v>
      </c>
      <c r="C155" s="51" t="s">
        <v>107</v>
      </c>
      <c r="D155" s="19">
        <v>200</v>
      </c>
      <c r="E155" s="19" t="s">
        <v>97</v>
      </c>
      <c r="F155" s="19">
        <v>418</v>
      </c>
      <c r="G155" s="19" t="s">
        <v>95</v>
      </c>
      <c r="H155" s="52" t="s">
        <v>26</v>
      </c>
    </row>
    <row r="156" spans="2:8" ht="18.75" thickBot="1" x14ac:dyDescent="0.3">
      <c r="B156" s="102"/>
      <c r="C156" s="51" t="s">
        <v>107</v>
      </c>
      <c r="D156" s="19">
        <v>150</v>
      </c>
      <c r="E156" s="19" t="s">
        <v>97</v>
      </c>
      <c r="F156" s="19">
        <v>503</v>
      </c>
      <c r="G156" s="19" t="s">
        <v>95</v>
      </c>
      <c r="H156" s="52" t="s">
        <v>26</v>
      </c>
    </row>
    <row r="157" spans="2:8" ht="18.75" thickBot="1" x14ac:dyDescent="0.3">
      <c r="B157" s="102"/>
      <c r="C157" s="51" t="s">
        <v>107</v>
      </c>
      <c r="D157" s="19">
        <v>100</v>
      </c>
      <c r="E157" s="19" t="s">
        <v>97</v>
      </c>
      <c r="F157" s="19">
        <v>1519</v>
      </c>
      <c r="G157" s="19" t="s">
        <v>95</v>
      </c>
      <c r="H157" s="52" t="s">
        <v>26</v>
      </c>
    </row>
    <row r="158" spans="2:8" ht="18.75" thickBot="1" x14ac:dyDescent="0.3">
      <c r="B158" s="102"/>
      <c r="C158" s="51" t="s">
        <v>107</v>
      </c>
      <c r="D158" s="19">
        <v>80</v>
      </c>
      <c r="E158" s="19" t="s">
        <v>97</v>
      </c>
      <c r="F158" s="19">
        <v>3898</v>
      </c>
      <c r="G158" s="19" t="s">
        <v>95</v>
      </c>
      <c r="H158" s="52" t="s">
        <v>26</v>
      </c>
    </row>
    <row r="159" spans="2:8" ht="18.75" thickBot="1" x14ac:dyDescent="0.3">
      <c r="B159" s="102"/>
      <c r="C159" s="51" t="s">
        <v>107</v>
      </c>
      <c r="D159" s="19">
        <v>60</v>
      </c>
      <c r="E159" s="19" t="s">
        <v>97</v>
      </c>
      <c r="F159" s="19">
        <v>9820</v>
      </c>
      <c r="G159" s="19" t="s">
        <v>95</v>
      </c>
      <c r="H159" s="52" t="s">
        <v>26</v>
      </c>
    </row>
    <row r="160" spans="2:8" ht="24.75" customHeight="1" x14ac:dyDescent="0.3">
      <c r="B160" s="102"/>
      <c r="C160" s="51" t="s">
        <v>107</v>
      </c>
      <c r="D160" s="19">
        <v>90</v>
      </c>
      <c r="E160" s="19" t="s">
        <v>93</v>
      </c>
      <c r="F160" s="19">
        <v>49</v>
      </c>
      <c r="G160" s="19" t="s">
        <v>95</v>
      </c>
      <c r="H160" s="52" t="s">
        <v>26</v>
      </c>
    </row>
    <row r="161" spans="2:8" ht="19.5" customHeight="1" x14ac:dyDescent="0.3">
      <c r="B161" s="102"/>
      <c r="C161" s="51" t="s">
        <v>107</v>
      </c>
      <c r="D161" s="19">
        <v>75</v>
      </c>
      <c r="E161" s="19" t="s">
        <v>93</v>
      </c>
      <c r="F161" s="19">
        <v>684</v>
      </c>
      <c r="G161" s="19" t="s">
        <v>95</v>
      </c>
      <c r="H161" s="52" t="s">
        <v>26</v>
      </c>
    </row>
    <row r="162" spans="2:8" ht="22.5" customHeight="1" x14ac:dyDescent="0.3">
      <c r="B162" s="102"/>
      <c r="C162" s="51" t="s">
        <v>107</v>
      </c>
      <c r="D162" s="19">
        <v>63</v>
      </c>
      <c r="E162" s="19" t="s">
        <v>93</v>
      </c>
      <c r="F162" s="19">
        <v>569</v>
      </c>
      <c r="G162" s="19" t="s">
        <v>95</v>
      </c>
      <c r="H162" s="52" t="s">
        <v>26</v>
      </c>
    </row>
    <row r="163" spans="2:8" ht="20.25" customHeight="1" x14ac:dyDescent="0.3">
      <c r="B163" s="102"/>
      <c r="C163" s="51" t="s">
        <v>107</v>
      </c>
      <c r="D163" s="19">
        <v>63</v>
      </c>
      <c r="E163" s="19" t="s">
        <v>94</v>
      </c>
      <c r="F163" s="19">
        <v>240</v>
      </c>
      <c r="G163" s="19" t="s">
        <v>95</v>
      </c>
      <c r="H163" s="52" t="s">
        <v>26</v>
      </c>
    </row>
    <row r="164" spans="2:8" ht="20.25" customHeight="1" x14ac:dyDescent="0.3">
      <c r="B164" s="102"/>
      <c r="C164" s="51" t="s">
        <v>107</v>
      </c>
      <c r="D164" s="19">
        <v>50</v>
      </c>
      <c r="E164" s="19" t="s">
        <v>94</v>
      </c>
      <c r="F164" s="19">
        <v>6869</v>
      </c>
      <c r="G164" s="19" t="s">
        <v>95</v>
      </c>
      <c r="H164" s="52" t="s">
        <v>26</v>
      </c>
    </row>
    <row r="165" spans="2:8" ht="22.5" customHeight="1" x14ac:dyDescent="0.3">
      <c r="B165" s="102"/>
      <c r="C165" s="51" t="s">
        <v>107</v>
      </c>
      <c r="D165" s="19">
        <v>60</v>
      </c>
      <c r="E165" s="19" t="s">
        <v>94</v>
      </c>
      <c r="F165" s="19">
        <v>3515</v>
      </c>
      <c r="G165" s="19" t="s">
        <v>95</v>
      </c>
      <c r="H165" s="52" t="s">
        <v>26</v>
      </c>
    </row>
    <row r="166" spans="2:8" ht="23.25" customHeight="1" x14ac:dyDescent="0.3">
      <c r="B166" s="102"/>
      <c r="C166" s="51" t="s">
        <v>107</v>
      </c>
      <c r="D166" s="19">
        <v>63</v>
      </c>
      <c r="E166" s="19" t="s">
        <v>94</v>
      </c>
      <c r="F166" s="19">
        <v>2165</v>
      </c>
      <c r="G166" s="19" t="s">
        <v>95</v>
      </c>
      <c r="H166" s="52" t="s">
        <v>26</v>
      </c>
    </row>
    <row r="167" spans="2:8" ht="21.75" customHeight="1" x14ac:dyDescent="0.3">
      <c r="B167" s="102"/>
      <c r="C167" s="51" t="s">
        <v>107</v>
      </c>
      <c r="D167" s="19">
        <v>140</v>
      </c>
      <c r="E167" s="19" t="s">
        <v>93</v>
      </c>
      <c r="F167" s="19">
        <v>4651</v>
      </c>
      <c r="G167" s="19" t="s">
        <v>95</v>
      </c>
      <c r="H167" s="52" t="s">
        <v>25</v>
      </c>
    </row>
    <row r="168" spans="2:8" ht="21.75" customHeight="1" x14ac:dyDescent="0.3">
      <c r="B168" s="102"/>
      <c r="C168" s="51" t="s">
        <v>107</v>
      </c>
      <c r="D168" s="19">
        <v>50</v>
      </c>
      <c r="E168" s="19" t="s">
        <v>94</v>
      </c>
      <c r="F168" s="19">
        <v>4091</v>
      </c>
      <c r="G168" s="19" t="s">
        <v>95</v>
      </c>
      <c r="H168" s="52" t="s">
        <v>26</v>
      </c>
    </row>
    <row r="169" spans="2:8" ht="21.75" customHeight="1" x14ac:dyDescent="0.3">
      <c r="B169" s="102"/>
      <c r="C169" s="51" t="s">
        <v>107</v>
      </c>
      <c r="D169" s="19">
        <v>140</v>
      </c>
      <c r="E169" s="19" t="s">
        <v>93</v>
      </c>
      <c r="F169" s="19">
        <v>2550</v>
      </c>
      <c r="G169" s="19" t="s">
        <v>95</v>
      </c>
      <c r="H169" s="52" t="s">
        <v>26</v>
      </c>
    </row>
    <row r="170" spans="2:8" ht="21.75" customHeight="1" x14ac:dyDescent="0.3">
      <c r="B170" s="102"/>
      <c r="C170" s="51" t="s">
        <v>107</v>
      </c>
      <c r="D170" s="19">
        <v>63</v>
      </c>
      <c r="E170" s="19" t="s">
        <v>93</v>
      </c>
      <c r="F170" s="19">
        <v>1410</v>
      </c>
      <c r="G170" s="19" t="s">
        <v>95</v>
      </c>
      <c r="H170" s="52" t="s">
        <v>25</v>
      </c>
    </row>
    <row r="171" spans="2:8" ht="21.75" customHeight="1" thickBot="1" x14ac:dyDescent="0.3">
      <c r="B171" s="103"/>
      <c r="C171" s="53" t="s">
        <v>107</v>
      </c>
      <c r="D171" s="20">
        <v>63</v>
      </c>
      <c r="E171" s="20" t="s">
        <v>94</v>
      </c>
      <c r="F171" s="20">
        <v>700</v>
      </c>
      <c r="G171" s="20" t="s">
        <v>95</v>
      </c>
      <c r="H171" s="54" t="s">
        <v>25</v>
      </c>
    </row>
    <row r="172" spans="2:8" ht="19.5" customHeight="1" x14ac:dyDescent="0.3">
      <c r="B172" s="111" t="s">
        <v>50</v>
      </c>
      <c r="C172" s="51" t="s">
        <v>107</v>
      </c>
      <c r="D172" s="19">
        <v>63</v>
      </c>
      <c r="E172" s="19" t="s">
        <v>94</v>
      </c>
      <c r="F172" s="19">
        <v>22374</v>
      </c>
      <c r="G172" s="19" t="s">
        <v>95</v>
      </c>
      <c r="H172" s="52" t="s">
        <v>25</v>
      </c>
    </row>
    <row r="173" spans="2:8" ht="19.5" customHeight="1" x14ac:dyDescent="0.3">
      <c r="B173" s="102"/>
      <c r="C173" s="51" t="s">
        <v>107</v>
      </c>
      <c r="D173" s="19">
        <v>75</v>
      </c>
      <c r="E173" s="19" t="s">
        <v>94</v>
      </c>
      <c r="F173" s="19">
        <v>3737</v>
      </c>
      <c r="G173" s="19" t="s">
        <v>95</v>
      </c>
      <c r="H173" s="52" t="s">
        <v>25</v>
      </c>
    </row>
    <row r="174" spans="2:8" ht="19.5" customHeight="1" x14ac:dyDescent="0.3">
      <c r="B174" s="102"/>
      <c r="C174" s="51" t="s">
        <v>107</v>
      </c>
      <c r="D174" s="19">
        <v>63</v>
      </c>
      <c r="E174" s="19" t="s">
        <v>94</v>
      </c>
      <c r="F174" s="19">
        <v>15587.5</v>
      </c>
      <c r="G174" s="19" t="s">
        <v>95</v>
      </c>
      <c r="H174" s="52" t="s">
        <v>25</v>
      </c>
    </row>
    <row r="175" spans="2:8" ht="19.5" customHeight="1" x14ac:dyDescent="0.3">
      <c r="B175" s="102"/>
      <c r="C175" s="51" t="s">
        <v>107</v>
      </c>
      <c r="D175" s="19">
        <v>75</v>
      </c>
      <c r="E175" s="19" t="s">
        <v>94</v>
      </c>
      <c r="F175" s="19">
        <v>813</v>
      </c>
      <c r="G175" s="19" t="s">
        <v>95</v>
      </c>
      <c r="H175" s="52" t="s">
        <v>25</v>
      </c>
    </row>
    <row r="176" spans="2:8" ht="19.5" customHeight="1" thickBot="1" x14ac:dyDescent="0.3">
      <c r="B176" s="103"/>
      <c r="C176" s="53" t="s">
        <v>107</v>
      </c>
      <c r="D176" s="20">
        <v>90</v>
      </c>
      <c r="E176" s="20" t="s">
        <v>94</v>
      </c>
      <c r="F176" s="20">
        <v>983</v>
      </c>
      <c r="G176" s="20" t="s">
        <v>95</v>
      </c>
      <c r="H176" s="54" t="s">
        <v>25</v>
      </c>
    </row>
    <row r="177" spans="2:8" ht="18.75" x14ac:dyDescent="0.25">
      <c r="B177" s="111" t="s">
        <v>24</v>
      </c>
      <c r="C177" s="59" t="s">
        <v>107</v>
      </c>
      <c r="D177" s="57">
        <v>110</v>
      </c>
      <c r="E177" s="57" t="s">
        <v>93</v>
      </c>
      <c r="F177" s="57">
        <v>2640</v>
      </c>
      <c r="G177" s="19" t="s">
        <v>95</v>
      </c>
      <c r="H177" s="60" t="s">
        <v>25</v>
      </c>
    </row>
    <row r="178" spans="2:8" ht="18.75" x14ac:dyDescent="0.25">
      <c r="B178" s="102"/>
      <c r="C178" s="51" t="s">
        <v>107</v>
      </c>
      <c r="D178" s="19">
        <v>90</v>
      </c>
      <c r="E178" s="19" t="s">
        <v>93</v>
      </c>
      <c r="F178" s="19">
        <v>3403.5</v>
      </c>
      <c r="G178" s="19" t="s">
        <v>95</v>
      </c>
      <c r="H178" s="52" t="s">
        <v>25</v>
      </c>
    </row>
    <row r="179" spans="2:8" ht="18.75" x14ac:dyDescent="0.25">
      <c r="B179" s="102"/>
      <c r="C179" s="51" t="s">
        <v>107</v>
      </c>
      <c r="D179" s="19">
        <v>75</v>
      </c>
      <c r="E179" s="19" t="s">
        <v>93</v>
      </c>
      <c r="F179" s="19">
        <v>1901</v>
      </c>
      <c r="G179" s="19" t="s">
        <v>95</v>
      </c>
      <c r="H179" s="52" t="s">
        <v>25</v>
      </c>
    </row>
    <row r="180" spans="2:8" ht="18.75" x14ac:dyDescent="0.25">
      <c r="B180" s="102"/>
      <c r="C180" s="51" t="s">
        <v>107</v>
      </c>
      <c r="D180" s="19">
        <v>63</v>
      </c>
      <c r="E180" s="19" t="s">
        <v>94</v>
      </c>
      <c r="F180" s="19">
        <v>6665</v>
      </c>
      <c r="G180" s="19" t="s">
        <v>95</v>
      </c>
      <c r="H180" s="52" t="s">
        <v>25</v>
      </c>
    </row>
    <row r="181" spans="2:8" ht="18.75" x14ac:dyDescent="0.25">
      <c r="B181" s="102"/>
      <c r="C181" s="51" t="s">
        <v>107</v>
      </c>
      <c r="D181" s="19">
        <v>80</v>
      </c>
      <c r="E181" s="19" t="s">
        <v>94</v>
      </c>
      <c r="F181" s="19">
        <v>25.6</v>
      </c>
      <c r="G181" s="19" t="s">
        <v>95</v>
      </c>
      <c r="H181" s="52" t="s">
        <v>25</v>
      </c>
    </row>
    <row r="182" spans="2:8" ht="18.75" x14ac:dyDescent="0.25">
      <c r="B182" s="102"/>
      <c r="C182" s="51" t="s">
        <v>107</v>
      </c>
      <c r="D182" s="19">
        <v>60</v>
      </c>
      <c r="E182" s="19" t="s">
        <v>94</v>
      </c>
      <c r="F182" s="19">
        <v>1630.4</v>
      </c>
      <c r="G182" s="19" t="s">
        <v>95</v>
      </c>
      <c r="H182" s="52" t="s">
        <v>25</v>
      </c>
    </row>
    <row r="183" spans="2:8" ht="18.75" x14ac:dyDescent="0.25">
      <c r="B183" s="102"/>
      <c r="C183" s="51" t="s">
        <v>107</v>
      </c>
      <c r="D183" s="19">
        <v>50</v>
      </c>
      <c r="E183" s="19" t="s">
        <v>94</v>
      </c>
      <c r="F183" s="19">
        <v>5038</v>
      </c>
      <c r="G183" s="19" t="s">
        <v>95</v>
      </c>
      <c r="H183" s="52" t="s">
        <v>25</v>
      </c>
    </row>
    <row r="184" spans="2:8" ht="18.75" x14ac:dyDescent="0.25">
      <c r="B184" s="102"/>
      <c r="C184" s="51" t="s">
        <v>107</v>
      </c>
      <c r="D184" s="19">
        <v>50</v>
      </c>
      <c r="E184" s="19" t="s">
        <v>93</v>
      </c>
      <c r="F184" s="19">
        <v>14974</v>
      </c>
      <c r="G184" s="19" t="s">
        <v>95</v>
      </c>
      <c r="H184" s="52" t="s">
        <v>26</v>
      </c>
    </row>
    <row r="185" spans="2:8" ht="18.75" x14ac:dyDescent="0.25">
      <c r="B185" s="102"/>
      <c r="C185" s="51" t="s">
        <v>107</v>
      </c>
      <c r="D185" s="19">
        <v>60</v>
      </c>
      <c r="E185" s="19" t="s">
        <v>93</v>
      </c>
      <c r="F185" s="19">
        <v>24042</v>
      </c>
      <c r="G185" s="19" t="s">
        <v>95</v>
      </c>
      <c r="H185" s="52" t="s">
        <v>26</v>
      </c>
    </row>
    <row r="186" spans="2:8" ht="18.75" x14ac:dyDescent="0.25">
      <c r="B186" s="102"/>
      <c r="C186" s="51" t="s">
        <v>107</v>
      </c>
      <c r="D186" s="19">
        <v>63</v>
      </c>
      <c r="E186" s="19" t="s">
        <v>97</v>
      </c>
      <c r="F186" s="19">
        <v>13070</v>
      </c>
      <c r="G186" s="19" t="s">
        <v>95</v>
      </c>
      <c r="H186" s="52" t="s">
        <v>26</v>
      </c>
    </row>
    <row r="187" spans="2:8" ht="18.75" x14ac:dyDescent="0.25">
      <c r="B187" s="102"/>
      <c r="C187" s="51" t="s">
        <v>107</v>
      </c>
      <c r="D187" s="19">
        <v>75</v>
      </c>
      <c r="E187" s="19" t="s">
        <v>93</v>
      </c>
      <c r="F187" s="19">
        <v>5258</v>
      </c>
      <c r="G187" s="19" t="s">
        <v>95</v>
      </c>
      <c r="H187" s="52" t="s">
        <v>26</v>
      </c>
    </row>
    <row r="188" spans="2:8" ht="18.75" x14ac:dyDescent="0.25">
      <c r="B188" s="102"/>
      <c r="C188" s="51" t="s">
        <v>107</v>
      </c>
      <c r="D188" s="19">
        <v>80</v>
      </c>
      <c r="E188" s="19" t="s">
        <v>97</v>
      </c>
      <c r="F188" s="19">
        <v>5079</v>
      </c>
      <c r="G188" s="19" t="s">
        <v>95</v>
      </c>
      <c r="H188" s="52" t="s">
        <v>26</v>
      </c>
    </row>
    <row r="189" spans="2:8" ht="18.75" x14ac:dyDescent="0.25">
      <c r="B189" s="102"/>
      <c r="C189" s="51" t="s">
        <v>107</v>
      </c>
      <c r="D189" s="19">
        <v>90</v>
      </c>
      <c r="E189" s="19" t="s">
        <v>93</v>
      </c>
      <c r="F189" s="19">
        <v>7067</v>
      </c>
      <c r="G189" s="19" t="s">
        <v>95</v>
      </c>
      <c r="H189" s="52" t="s">
        <v>26</v>
      </c>
    </row>
    <row r="190" spans="2:8" ht="18.75" x14ac:dyDescent="0.25">
      <c r="B190" s="102"/>
      <c r="C190" s="51" t="s">
        <v>107</v>
      </c>
      <c r="D190" s="19">
        <v>100</v>
      </c>
      <c r="E190" s="19" t="s">
        <v>97</v>
      </c>
      <c r="F190" s="19">
        <v>3718</v>
      </c>
      <c r="G190" s="19" t="s">
        <v>95</v>
      </c>
      <c r="H190" s="52" t="s">
        <v>26</v>
      </c>
    </row>
    <row r="191" spans="2:8" ht="18.75" x14ac:dyDescent="0.25">
      <c r="B191" s="102"/>
      <c r="C191" s="51" t="s">
        <v>107</v>
      </c>
      <c r="D191" s="19">
        <v>110</v>
      </c>
      <c r="E191" s="19" t="s">
        <v>93</v>
      </c>
      <c r="F191" s="19">
        <v>3048</v>
      </c>
      <c r="G191" s="19" t="s">
        <v>95</v>
      </c>
      <c r="H191" s="52" t="s">
        <v>26</v>
      </c>
    </row>
    <row r="192" spans="2:8" ht="18.75" x14ac:dyDescent="0.25">
      <c r="B192" s="102"/>
      <c r="C192" s="51" t="s">
        <v>107</v>
      </c>
      <c r="D192" s="19">
        <v>125</v>
      </c>
      <c r="E192" s="19" t="s">
        <v>93</v>
      </c>
      <c r="F192" s="19">
        <v>515</v>
      </c>
      <c r="G192" s="19" t="s">
        <v>95</v>
      </c>
      <c r="H192" s="52" t="s">
        <v>26</v>
      </c>
    </row>
    <row r="193" spans="2:8" ht="18.75" x14ac:dyDescent="0.25">
      <c r="B193" s="102"/>
      <c r="C193" s="51" t="s">
        <v>107</v>
      </c>
      <c r="D193" s="19">
        <v>63</v>
      </c>
      <c r="E193" s="19" t="s">
        <v>94</v>
      </c>
      <c r="F193" s="19">
        <v>85</v>
      </c>
      <c r="G193" s="19" t="s">
        <v>95</v>
      </c>
      <c r="H193" s="52" t="s">
        <v>25</v>
      </c>
    </row>
    <row r="194" spans="2:8" ht="18.75" x14ac:dyDescent="0.25">
      <c r="B194" s="102"/>
      <c r="C194" s="51" t="s">
        <v>107</v>
      </c>
      <c r="D194" s="19">
        <v>63</v>
      </c>
      <c r="E194" s="19" t="s">
        <v>94</v>
      </c>
      <c r="F194" s="19">
        <v>90</v>
      </c>
      <c r="G194" s="19" t="s">
        <v>95</v>
      </c>
      <c r="H194" s="52" t="s">
        <v>25</v>
      </c>
    </row>
    <row r="195" spans="2:8" ht="18.75" x14ac:dyDescent="0.25">
      <c r="B195" s="102"/>
      <c r="C195" s="51" t="s">
        <v>107</v>
      </c>
      <c r="D195" s="19">
        <v>50</v>
      </c>
      <c r="E195" s="19" t="s">
        <v>94</v>
      </c>
      <c r="F195" s="19">
        <v>70</v>
      </c>
      <c r="G195" s="19" t="s">
        <v>95</v>
      </c>
      <c r="H195" s="52" t="s">
        <v>25</v>
      </c>
    </row>
    <row r="196" spans="2:8" ht="18.75" x14ac:dyDescent="0.25">
      <c r="B196" s="102"/>
      <c r="C196" s="51" t="s">
        <v>107</v>
      </c>
      <c r="D196" s="19">
        <v>63</v>
      </c>
      <c r="E196" s="19" t="s">
        <v>94</v>
      </c>
      <c r="F196" s="19">
        <v>175</v>
      </c>
      <c r="G196" s="19" t="s">
        <v>95</v>
      </c>
      <c r="H196" s="52" t="s">
        <v>25</v>
      </c>
    </row>
    <row r="197" spans="2:8" ht="18.75" x14ac:dyDescent="0.25">
      <c r="B197" s="102"/>
      <c r="C197" s="51" t="s">
        <v>107</v>
      </c>
      <c r="D197" s="19">
        <v>63</v>
      </c>
      <c r="E197" s="19" t="s">
        <v>94</v>
      </c>
      <c r="F197" s="19">
        <v>116</v>
      </c>
      <c r="G197" s="19" t="s">
        <v>95</v>
      </c>
      <c r="H197" s="52" t="s">
        <v>25</v>
      </c>
    </row>
    <row r="198" spans="2:8" ht="18.75" x14ac:dyDescent="0.25">
      <c r="B198" s="102"/>
      <c r="C198" s="51" t="s">
        <v>107</v>
      </c>
      <c r="D198" s="19">
        <v>63</v>
      </c>
      <c r="E198" s="19" t="s">
        <v>94</v>
      </c>
      <c r="F198" s="19">
        <v>120</v>
      </c>
      <c r="G198" s="19" t="s">
        <v>95</v>
      </c>
      <c r="H198" s="52" t="s">
        <v>25</v>
      </c>
    </row>
    <row r="199" spans="2:8" ht="18.75" x14ac:dyDescent="0.25">
      <c r="B199" s="102"/>
      <c r="C199" s="51" t="s">
        <v>107</v>
      </c>
      <c r="D199" s="19">
        <v>50</v>
      </c>
      <c r="E199" s="19" t="s">
        <v>94</v>
      </c>
      <c r="F199" s="19">
        <v>113</v>
      </c>
      <c r="G199" s="19" t="s">
        <v>95</v>
      </c>
      <c r="H199" s="52" t="s">
        <v>25</v>
      </c>
    </row>
    <row r="200" spans="2:8" ht="18.75" x14ac:dyDescent="0.25">
      <c r="B200" s="102"/>
      <c r="C200" s="51" t="s">
        <v>107</v>
      </c>
      <c r="D200" s="19">
        <v>125</v>
      </c>
      <c r="E200" s="19" t="s">
        <v>97</v>
      </c>
      <c r="F200" s="19">
        <v>1521</v>
      </c>
      <c r="G200" s="19" t="s">
        <v>95</v>
      </c>
      <c r="H200" s="52" t="s">
        <v>26</v>
      </c>
    </row>
    <row r="201" spans="2:8" ht="18.75" x14ac:dyDescent="0.25">
      <c r="B201" s="102"/>
      <c r="C201" s="51" t="s">
        <v>107</v>
      </c>
      <c r="D201" s="19">
        <v>140</v>
      </c>
      <c r="E201" s="19" t="s">
        <v>93</v>
      </c>
      <c r="F201" s="19">
        <v>2443</v>
      </c>
      <c r="G201" s="19" t="s">
        <v>95</v>
      </c>
      <c r="H201" s="52" t="s">
        <v>26</v>
      </c>
    </row>
    <row r="202" spans="2:8" ht="18.75" x14ac:dyDescent="0.25">
      <c r="B202" s="102"/>
      <c r="C202" s="51" t="s">
        <v>107</v>
      </c>
      <c r="D202" s="19">
        <v>150</v>
      </c>
      <c r="E202" s="19" t="s">
        <v>93</v>
      </c>
      <c r="F202" s="19">
        <v>1820</v>
      </c>
      <c r="G202" s="19" t="s">
        <v>95</v>
      </c>
      <c r="H202" s="52" t="s">
        <v>26</v>
      </c>
    </row>
    <row r="203" spans="2:8" ht="18.75" x14ac:dyDescent="0.25">
      <c r="B203" s="102"/>
      <c r="C203" s="51" t="s">
        <v>107</v>
      </c>
      <c r="D203" s="19">
        <v>160</v>
      </c>
      <c r="E203" s="19" t="s">
        <v>93</v>
      </c>
      <c r="F203" s="19">
        <v>2800</v>
      </c>
      <c r="G203" s="19" t="s">
        <v>95</v>
      </c>
      <c r="H203" s="52" t="s">
        <v>26</v>
      </c>
    </row>
    <row r="204" spans="2:8" ht="18.75" x14ac:dyDescent="0.25">
      <c r="B204" s="102"/>
      <c r="C204" s="51" t="s">
        <v>107</v>
      </c>
      <c r="D204" s="19">
        <v>200</v>
      </c>
      <c r="E204" s="19" t="s">
        <v>93</v>
      </c>
      <c r="F204" s="19">
        <v>1692</v>
      </c>
      <c r="G204" s="19" t="s">
        <v>95</v>
      </c>
      <c r="H204" s="52" t="s">
        <v>26</v>
      </c>
    </row>
    <row r="205" spans="2:8" ht="18.75" x14ac:dyDescent="0.25">
      <c r="B205" s="102"/>
      <c r="C205" s="51" t="s">
        <v>107</v>
      </c>
      <c r="D205" s="19">
        <v>250</v>
      </c>
      <c r="E205" s="19" t="s">
        <v>141</v>
      </c>
      <c r="F205" s="19">
        <v>716</v>
      </c>
      <c r="G205" s="19" t="s">
        <v>95</v>
      </c>
      <c r="H205" s="52" t="s">
        <v>26</v>
      </c>
    </row>
    <row r="206" spans="2:8" ht="18.75" x14ac:dyDescent="0.25">
      <c r="B206" s="102"/>
      <c r="C206" s="51" t="s">
        <v>107</v>
      </c>
      <c r="D206" s="19">
        <v>315</v>
      </c>
      <c r="E206" s="19" t="s">
        <v>141</v>
      </c>
      <c r="F206" s="19">
        <v>413</v>
      </c>
      <c r="G206" s="19" t="s">
        <v>95</v>
      </c>
      <c r="H206" s="52" t="s">
        <v>26</v>
      </c>
    </row>
    <row r="207" spans="2:8" ht="18.75" x14ac:dyDescent="0.25">
      <c r="B207" s="102"/>
      <c r="C207" s="51" t="s">
        <v>107</v>
      </c>
      <c r="D207" s="19">
        <v>90</v>
      </c>
      <c r="E207" s="19" t="s">
        <v>94</v>
      </c>
      <c r="F207" s="19">
        <v>25.6</v>
      </c>
      <c r="G207" s="19" t="s">
        <v>95</v>
      </c>
      <c r="H207" s="52" t="s">
        <v>26</v>
      </c>
    </row>
    <row r="208" spans="2:8" ht="18.75" x14ac:dyDescent="0.25">
      <c r="B208" s="102"/>
      <c r="C208" s="51" t="s">
        <v>107</v>
      </c>
      <c r="D208" s="19">
        <v>75</v>
      </c>
      <c r="E208" s="19" t="s">
        <v>94</v>
      </c>
      <c r="F208" s="19">
        <v>1630</v>
      </c>
      <c r="G208" s="19" t="s">
        <v>95</v>
      </c>
      <c r="H208" s="52" t="s">
        <v>26</v>
      </c>
    </row>
    <row r="209" spans="2:8" ht="18.75" x14ac:dyDescent="0.25">
      <c r="B209" s="102"/>
      <c r="C209" s="51" t="s">
        <v>107</v>
      </c>
      <c r="D209" s="19">
        <v>63</v>
      </c>
      <c r="E209" s="19" t="s">
        <v>94</v>
      </c>
      <c r="F209" s="19">
        <v>5038</v>
      </c>
      <c r="G209" s="19" t="s">
        <v>95</v>
      </c>
      <c r="H209" s="52" t="s">
        <v>26</v>
      </c>
    </row>
    <row r="210" spans="2:8" ht="18.75" x14ac:dyDescent="0.25">
      <c r="B210" s="102"/>
      <c r="C210" s="51" t="s">
        <v>107</v>
      </c>
      <c r="D210" s="19">
        <v>160</v>
      </c>
      <c r="E210" s="19" t="s">
        <v>93</v>
      </c>
      <c r="F210" s="19">
        <v>2650</v>
      </c>
      <c r="G210" s="19" t="s">
        <v>95</v>
      </c>
      <c r="H210" s="52" t="s">
        <v>25</v>
      </c>
    </row>
    <row r="211" spans="2:8" ht="18.75" x14ac:dyDescent="0.25">
      <c r="B211" s="102"/>
      <c r="C211" s="51" t="s">
        <v>107</v>
      </c>
      <c r="D211" s="19">
        <v>125</v>
      </c>
      <c r="E211" s="19" t="s">
        <v>93</v>
      </c>
      <c r="F211" s="19">
        <v>1466.4</v>
      </c>
      <c r="G211" s="19" t="s">
        <v>95</v>
      </c>
      <c r="H211" s="52" t="s">
        <v>25</v>
      </c>
    </row>
    <row r="212" spans="2:8" ht="18.75" x14ac:dyDescent="0.25">
      <c r="B212" s="102"/>
      <c r="C212" s="51" t="s">
        <v>107</v>
      </c>
      <c r="D212" s="19">
        <v>110</v>
      </c>
      <c r="E212" s="19" t="s">
        <v>93</v>
      </c>
      <c r="F212" s="19">
        <v>2859.8</v>
      </c>
      <c r="G212" s="19" t="s">
        <v>95</v>
      </c>
      <c r="H212" s="52" t="s">
        <v>25</v>
      </c>
    </row>
    <row r="213" spans="2:8" ht="18.75" x14ac:dyDescent="0.25">
      <c r="B213" s="102"/>
      <c r="C213" s="51" t="s">
        <v>107</v>
      </c>
      <c r="D213" s="19">
        <v>90</v>
      </c>
      <c r="E213" s="19" t="s">
        <v>93</v>
      </c>
      <c r="F213" s="19">
        <v>3144.8</v>
      </c>
      <c r="G213" s="19" t="s">
        <v>95</v>
      </c>
      <c r="H213" s="52" t="s">
        <v>25</v>
      </c>
    </row>
    <row r="214" spans="2:8" ht="18.75" x14ac:dyDescent="0.25">
      <c r="B214" s="102"/>
      <c r="C214" s="51" t="s">
        <v>107</v>
      </c>
      <c r="D214" s="19">
        <v>250</v>
      </c>
      <c r="E214" s="19" t="s">
        <v>93</v>
      </c>
      <c r="F214" s="19">
        <v>3009.6</v>
      </c>
      <c r="G214" s="19" t="s">
        <v>95</v>
      </c>
      <c r="H214" s="52" t="s">
        <v>25</v>
      </c>
    </row>
    <row r="215" spans="2:8" ht="18.75" x14ac:dyDescent="0.25">
      <c r="B215" s="102"/>
      <c r="C215" s="51" t="s">
        <v>107</v>
      </c>
      <c r="D215" s="19">
        <v>50</v>
      </c>
      <c r="E215" s="19" t="s">
        <v>94</v>
      </c>
      <c r="F215" s="19">
        <v>2694.5</v>
      </c>
      <c r="G215" s="19" t="s">
        <v>95</v>
      </c>
      <c r="H215" s="52" t="s">
        <v>25</v>
      </c>
    </row>
    <row r="216" spans="2:8" ht="18.75" x14ac:dyDescent="0.25">
      <c r="B216" s="102"/>
      <c r="C216" s="51" t="s">
        <v>107</v>
      </c>
      <c r="D216" s="19">
        <v>160</v>
      </c>
      <c r="E216" s="19" t="s">
        <v>93</v>
      </c>
      <c r="F216" s="19">
        <v>1097.5</v>
      </c>
      <c r="G216" s="19" t="s">
        <v>95</v>
      </c>
      <c r="H216" s="52" t="s">
        <v>25</v>
      </c>
    </row>
    <row r="217" spans="2:8" ht="18.75" x14ac:dyDescent="0.25">
      <c r="B217" s="102"/>
      <c r="C217" s="51" t="s">
        <v>107</v>
      </c>
      <c r="D217" s="19">
        <v>110</v>
      </c>
      <c r="E217" s="19" t="s">
        <v>93</v>
      </c>
      <c r="F217" s="19">
        <v>4362.5</v>
      </c>
      <c r="G217" s="19" t="s">
        <v>95</v>
      </c>
      <c r="H217" s="52" t="s">
        <v>25</v>
      </c>
    </row>
    <row r="218" spans="2:8" ht="18.75" x14ac:dyDescent="0.25">
      <c r="B218" s="102"/>
      <c r="C218" s="51" t="s">
        <v>107</v>
      </c>
      <c r="D218" s="19">
        <v>90</v>
      </c>
      <c r="E218" s="19" t="s">
        <v>93</v>
      </c>
      <c r="F218" s="19">
        <v>2870.3</v>
      </c>
      <c r="G218" s="19" t="s">
        <v>95</v>
      </c>
      <c r="H218" s="52" t="s">
        <v>25</v>
      </c>
    </row>
    <row r="219" spans="2:8" ht="18.75" x14ac:dyDescent="0.25">
      <c r="B219" s="102"/>
      <c r="C219" s="51" t="s">
        <v>107</v>
      </c>
      <c r="D219" s="19">
        <v>50</v>
      </c>
      <c r="E219" s="19" t="s">
        <v>94</v>
      </c>
      <c r="F219" s="19">
        <v>6520</v>
      </c>
      <c r="G219" s="19" t="s">
        <v>95</v>
      </c>
      <c r="H219" s="52" t="s">
        <v>25</v>
      </c>
    </row>
    <row r="220" spans="2:8" ht="18.75" x14ac:dyDescent="0.25">
      <c r="B220" s="102"/>
      <c r="C220" s="51" t="s">
        <v>107</v>
      </c>
      <c r="D220" s="19">
        <v>63</v>
      </c>
      <c r="E220" s="19" t="s">
        <v>94</v>
      </c>
      <c r="F220" s="19">
        <v>75.3</v>
      </c>
      <c r="G220" s="19" t="s">
        <v>95</v>
      </c>
      <c r="H220" s="52" t="s">
        <v>25</v>
      </c>
    </row>
    <row r="221" spans="2:8" ht="18.75" x14ac:dyDescent="0.25">
      <c r="B221" s="102"/>
      <c r="C221" s="51" t="s">
        <v>107</v>
      </c>
      <c r="D221" s="19">
        <v>50</v>
      </c>
      <c r="E221" s="19" t="s">
        <v>94</v>
      </c>
      <c r="F221" s="19">
        <v>55</v>
      </c>
      <c r="G221" s="19" t="s">
        <v>95</v>
      </c>
      <c r="H221" s="52" t="s">
        <v>25</v>
      </c>
    </row>
    <row r="222" spans="2:8" ht="18.75" x14ac:dyDescent="0.25">
      <c r="B222" s="102"/>
      <c r="C222" s="51" t="s">
        <v>107</v>
      </c>
      <c r="D222" s="19">
        <v>50</v>
      </c>
      <c r="E222" s="19" t="s">
        <v>94</v>
      </c>
      <c r="F222" s="19">
        <v>65</v>
      </c>
      <c r="G222" s="19" t="s">
        <v>95</v>
      </c>
      <c r="H222" s="52" t="s">
        <v>25</v>
      </c>
    </row>
    <row r="223" spans="2:8" ht="18.75" x14ac:dyDescent="0.25">
      <c r="B223" s="102"/>
      <c r="C223" s="51" t="s">
        <v>107</v>
      </c>
      <c r="D223" s="19">
        <v>75</v>
      </c>
      <c r="E223" s="19" t="s">
        <v>94</v>
      </c>
      <c r="F223" s="19">
        <v>4</v>
      </c>
      <c r="G223" s="19" t="s">
        <v>95</v>
      </c>
      <c r="H223" s="52" t="s">
        <v>25</v>
      </c>
    </row>
    <row r="224" spans="2:8" ht="18.75" x14ac:dyDescent="0.25">
      <c r="B224" s="102"/>
      <c r="C224" s="51" t="s">
        <v>107</v>
      </c>
      <c r="D224" s="19">
        <v>50</v>
      </c>
      <c r="E224" s="19" t="s">
        <v>94</v>
      </c>
      <c r="F224" s="19">
        <v>100</v>
      </c>
      <c r="G224" s="19" t="s">
        <v>95</v>
      </c>
      <c r="H224" s="52" t="s">
        <v>25</v>
      </c>
    </row>
    <row r="225" spans="2:8" ht="18.75" x14ac:dyDescent="0.25">
      <c r="B225" s="102"/>
      <c r="C225" s="51" t="s">
        <v>107</v>
      </c>
      <c r="D225" s="19">
        <v>63</v>
      </c>
      <c r="E225" s="19" t="s">
        <v>94</v>
      </c>
      <c r="F225" s="19">
        <v>273</v>
      </c>
      <c r="G225" s="19" t="s">
        <v>95</v>
      </c>
      <c r="H225" s="52" t="s">
        <v>25</v>
      </c>
    </row>
    <row r="226" spans="2:8" ht="18.75" x14ac:dyDescent="0.25">
      <c r="B226" s="102"/>
      <c r="C226" s="51" t="s">
        <v>107</v>
      </c>
      <c r="D226" s="19">
        <v>50</v>
      </c>
      <c r="E226" s="19" t="s">
        <v>94</v>
      </c>
      <c r="F226" s="19">
        <v>75.599999999999994</v>
      </c>
      <c r="G226" s="19" t="s">
        <v>95</v>
      </c>
      <c r="H226" s="52" t="s">
        <v>25</v>
      </c>
    </row>
    <row r="227" spans="2:8" ht="18.75" x14ac:dyDescent="0.25">
      <c r="B227" s="102"/>
      <c r="C227" s="51" t="s">
        <v>107</v>
      </c>
      <c r="D227" s="19">
        <v>110</v>
      </c>
      <c r="E227" s="19" t="s">
        <v>94</v>
      </c>
      <c r="F227" s="19">
        <v>60</v>
      </c>
      <c r="G227" s="19" t="s">
        <v>95</v>
      </c>
      <c r="H227" s="52" t="s">
        <v>25</v>
      </c>
    </row>
    <row r="228" spans="2:8" ht="19.5" thickBot="1" x14ac:dyDescent="0.3">
      <c r="B228" s="103"/>
      <c r="C228" s="55" t="s">
        <v>107</v>
      </c>
      <c r="D228" s="56">
        <v>50</v>
      </c>
      <c r="E228" s="56" t="s">
        <v>94</v>
      </c>
      <c r="F228" s="56">
        <v>54.5</v>
      </c>
      <c r="G228" s="56" t="s">
        <v>95</v>
      </c>
      <c r="H228" s="58" t="s">
        <v>25</v>
      </c>
    </row>
    <row r="229" spans="2:8" ht="21" customHeight="1" x14ac:dyDescent="0.3">
      <c r="B229" s="111" t="s">
        <v>151</v>
      </c>
      <c r="C229" s="49" t="s">
        <v>107</v>
      </c>
      <c r="D229" s="18">
        <v>63</v>
      </c>
      <c r="E229" s="18" t="s">
        <v>94</v>
      </c>
      <c r="F229" s="18">
        <v>3880</v>
      </c>
      <c r="G229" s="18" t="s">
        <v>99</v>
      </c>
      <c r="H229" s="50" t="s">
        <v>25</v>
      </c>
    </row>
    <row r="230" spans="2:8" ht="21" customHeight="1" x14ac:dyDescent="0.3">
      <c r="B230" s="102"/>
      <c r="C230" s="51" t="s">
        <v>107</v>
      </c>
      <c r="D230" s="19" t="s">
        <v>155</v>
      </c>
      <c r="E230" s="19" t="s">
        <v>93</v>
      </c>
      <c r="F230" s="19">
        <v>140.41999999999999</v>
      </c>
      <c r="G230" s="19" t="s">
        <v>99</v>
      </c>
      <c r="H230" s="52" t="s">
        <v>25</v>
      </c>
    </row>
    <row r="231" spans="2:8" ht="21" customHeight="1" x14ac:dyDescent="0.3">
      <c r="B231" s="102"/>
      <c r="C231" s="51" t="s">
        <v>107</v>
      </c>
      <c r="D231" s="19" t="s">
        <v>155</v>
      </c>
      <c r="E231" s="19" t="s">
        <v>93</v>
      </c>
      <c r="F231" s="19">
        <v>3265.65</v>
      </c>
      <c r="G231" s="19" t="s">
        <v>99</v>
      </c>
      <c r="H231" s="52" t="s">
        <v>25</v>
      </c>
    </row>
    <row r="232" spans="2:8" ht="21" customHeight="1" x14ac:dyDescent="0.3">
      <c r="B232" s="102"/>
      <c r="C232" s="51" t="s">
        <v>107</v>
      </c>
      <c r="D232" s="19" t="s">
        <v>155</v>
      </c>
      <c r="E232" s="19" t="s">
        <v>93</v>
      </c>
      <c r="F232" s="19">
        <v>1514.12</v>
      </c>
      <c r="G232" s="19" t="s">
        <v>99</v>
      </c>
      <c r="H232" s="52" t="s">
        <v>25</v>
      </c>
    </row>
    <row r="233" spans="2:8" ht="21" customHeight="1" x14ac:dyDescent="0.3">
      <c r="B233" s="102"/>
      <c r="C233" s="51" t="s">
        <v>107</v>
      </c>
      <c r="D233" s="19" t="s">
        <v>155</v>
      </c>
      <c r="E233" s="19" t="s">
        <v>93</v>
      </c>
      <c r="F233" s="19">
        <v>662.94</v>
      </c>
      <c r="G233" s="19" t="s">
        <v>99</v>
      </c>
      <c r="H233" s="52" t="s">
        <v>25</v>
      </c>
    </row>
    <row r="234" spans="2:8" ht="21" customHeight="1" x14ac:dyDescent="0.3">
      <c r="B234" s="102"/>
      <c r="C234" s="51" t="s">
        <v>107</v>
      </c>
      <c r="D234" s="19" t="s">
        <v>155</v>
      </c>
      <c r="E234" s="19" t="s">
        <v>93</v>
      </c>
      <c r="F234" s="19">
        <v>2231.06</v>
      </c>
      <c r="G234" s="19" t="s">
        <v>99</v>
      </c>
      <c r="H234" s="52" t="s">
        <v>25</v>
      </c>
    </row>
    <row r="235" spans="2:8" ht="21" customHeight="1" x14ac:dyDescent="0.3">
      <c r="B235" s="102"/>
      <c r="C235" s="51" t="s">
        <v>107</v>
      </c>
      <c r="D235" s="19" t="s">
        <v>155</v>
      </c>
      <c r="E235" s="19" t="s">
        <v>141</v>
      </c>
      <c r="F235" s="19">
        <v>8300</v>
      </c>
      <c r="G235" s="19" t="s">
        <v>99</v>
      </c>
      <c r="H235" s="52" t="s">
        <v>25</v>
      </c>
    </row>
    <row r="236" spans="2:8" ht="21" customHeight="1" x14ac:dyDescent="0.3">
      <c r="B236" s="102"/>
      <c r="C236" s="51" t="s">
        <v>107</v>
      </c>
      <c r="D236" s="19" t="s">
        <v>155</v>
      </c>
      <c r="E236" s="19" t="s">
        <v>141</v>
      </c>
      <c r="F236" s="19">
        <v>30</v>
      </c>
      <c r="G236" s="19" t="s">
        <v>99</v>
      </c>
      <c r="H236" s="52" t="s">
        <v>25</v>
      </c>
    </row>
    <row r="237" spans="2:8" ht="21" customHeight="1" x14ac:dyDescent="0.3">
      <c r="B237" s="102"/>
      <c r="C237" s="51" t="s">
        <v>107</v>
      </c>
      <c r="D237" s="19" t="s">
        <v>155</v>
      </c>
      <c r="E237" s="19" t="s">
        <v>141</v>
      </c>
      <c r="F237" s="19">
        <v>30</v>
      </c>
      <c r="G237" s="19" t="s">
        <v>99</v>
      </c>
      <c r="H237" s="52" t="s">
        <v>25</v>
      </c>
    </row>
    <row r="238" spans="2:8" ht="21" customHeight="1" thickBot="1" x14ac:dyDescent="0.3">
      <c r="B238" s="103"/>
      <c r="C238" s="53" t="s">
        <v>107</v>
      </c>
      <c r="D238" s="20">
        <v>50</v>
      </c>
      <c r="E238" s="20" t="s">
        <v>94</v>
      </c>
      <c r="F238" s="20">
        <v>54</v>
      </c>
      <c r="G238" s="20" t="s">
        <v>99</v>
      </c>
      <c r="H238" s="54" t="s">
        <v>25</v>
      </c>
    </row>
    <row r="239" spans="2:8" ht="18.75" x14ac:dyDescent="0.25">
      <c r="B239" s="115" t="s">
        <v>227</v>
      </c>
      <c r="C239" s="24" t="s">
        <v>107</v>
      </c>
      <c r="D239" s="18">
        <v>110</v>
      </c>
      <c r="E239" s="18" t="s">
        <v>93</v>
      </c>
      <c r="F239" s="18">
        <v>4357.34</v>
      </c>
      <c r="G239" s="18" t="s">
        <v>95</v>
      </c>
      <c r="H239" s="50" t="s">
        <v>26</v>
      </c>
    </row>
    <row r="240" spans="2:8" ht="18.75" x14ac:dyDescent="0.25">
      <c r="B240" s="116"/>
      <c r="C240" s="22" t="s">
        <v>107</v>
      </c>
      <c r="D240" s="19">
        <v>90</v>
      </c>
      <c r="E240" s="19" t="s">
        <v>94</v>
      </c>
      <c r="F240" s="19">
        <v>8097.93</v>
      </c>
      <c r="G240" s="19" t="s">
        <v>95</v>
      </c>
      <c r="H240" s="52" t="s">
        <v>26</v>
      </c>
    </row>
    <row r="241" spans="2:8" ht="18.75" x14ac:dyDescent="0.25">
      <c r="B241" s="116"/>
      <c r="C241" s="22" t="s">
        <v>107</v>
      </c>
      <c r="D241" s="19">
        <v>75</v>
      </c>
      <c r="E241" s="19" t="s">
        <v>94</v>
      </c>
      <c r="F241" s="19">
        <v>1392.11</v>
      </c>
      <c r="G241" s="19" t="s">
        <v>95</v>
      </c>
      <c r="H241" s="52" t="s">
        <v>26</v>
      </c>
    </row>
    <row r="242" spans="2:8" ht="18.75" x14ac:dyDescent="0.25">
      <c r="B242" s="116"/>
      <c r="C242" s="22" t="s">
        <v>107</v>
      </c>
      <c r="D242" s="19">
        <v>63</v>
      </c>
      <c r="E242" s="19" t="s">
        <v>94</v>
      </c>
      <c r="F242" s="19">
        <v>9881.0400000000009</v>
      </c>
      <c r="G242" s="19" t="s">
        <v>95</v>
      </c>
      <c r="H242" s="52" t="s">
        <v>26</v>
      </c>
    </row>
    <row r="243" spans="2:8" ht="18.75" x14ac:dyDescent="0.25">
      <c r="B243" s="116"/>
      <c r="C243" s="22" t="s">
        <v>107</v>
      </c>
      <c r="D243" s="19">
        <v>80</v>
      </c>
      <c r="E243" s="19" t="s">
        <v>141</v>
      </c>
      <c r="F243" s="19">
        <v>36</v>
      </c>
      <c r="G243" s="19" t="s">
        <v>95</v>
      </c>
      <c r="H243" s="52" t="s">
        <v>26</v>
      </c>
    </row>
    <row r="244" spans="2:8" ht="18.75" x14ac:dyDescent="0.25">
      <c r="B244" s="116"/>
      <c r="C244" s="22" t="s">
        <v>107</v>
      </c>
      <c r="D244" s="19">
        <v>60</v>
      </c>
      <c r="E244" s="19" t="s">
        <v>141</v>
      </c>
      <c r="F244" s="19">
        <v>42</v>
      </c>
      <c r="G244" s="19" t="s">
        <v>95</v>
      </c>
      <c r="H244" s="52" t="s">
        <v>26</v>
      </c>
    </row>
    <row r="245" spans="2:8" ht="18.75" x14ac:dyDescent="0.25">
      <c r="B245" s="116"/>
      <c r="C245" s="22" t="s">
        <v>107</v>
      </c>
      <c r="D245" s="19" t="s">
        <v>155</v>
      </c>
      <c r="E245" s="19" t="s">
        <v>96</v>
      </c>
      <c r="F245" s="19">
        <v>1025.3800000000001</v>
      </c>
      <c r="G245" s="19" t="s">
        <v>95</v>
      </c>
      <c r="H245" s="52" t="s">
        <v>26</v>
      </c>
    </row>
    <row r="246" spans="2:8" ht="18.75" x14ac:dyDescent="0.25">
      <c r="B246" s="116"/>
      <c r="C246" s="22" t="s">
        <v>107</v>
      </c>
      <c r="D246" s="19">
        <v>200</v>
      </c>
      <c r="E246" s="19" t="s">
        <v>93</v>
      </c>
      <c r="F246" s="19">
        <v>12</v>
      </c>
      <c r="G246" s="19" t="s">
        <v>95</v>
      </c>
      <c r="H246" s="52" t="s">
        <v>26</v>
      </c>
    </row>
    <row r="247" spans="2:8" ht="18.75" x14ac:dyDescent="0.25">
      <c r="B247" s="116"/>
      <c r="C247" s="22" t="s">
        <v>107</v>
      </c>
      <c r="D247" s="19">
        <v>160</v>
      </c>
      <c r="E247" s="19" t="s">
        <v>93</v>
      </c>
      <c r="F247" s="19">
        <v>487.91</v>
      </c>
      <c r="G247" s="19" t="s">
        <v>95</v>
      </c>
      <c r="H247" s="52" t="s">
        <v>26</v>
      </c>
    </row>
    <row r="248" spans="2:8" ht="18.75" x14ac:dyDescent="0.25">
      <c r="B248" s="116"/>
      <c r="C248" s="22" t="s">
        <v>107</v>
      </c>
      <c r="D248" s="19">
        <v>140</v>
      </c>
      <c r="E248" s="19" t="s">
        <v>93</v>
      </c>
      <c r="F248" s="19">
        <v>902.08</v>
      </c>
      <c r="G248" s="19" t="s">
        <v>95</v>
      </c>
      <c r="H248" s="52" t="s">
        <v>26</v>
      </c>
    </row>
    <row r="249" spans="2:8" ht="18.75" x14ac:dyDescent="0.25">
      <c r="B249" s="116"/>
      <c r="C249" s="22" t="s">
        <v>107</v>
      </c>
      <c r="D249" s="19">
        <v>125</v>
      </c>
      <c r="E249" s="19" t="s">
        <v>93</v>
      </c>
      <c r="F249" s="19">
        <v>1472.38</v>
      </c>
      <c r="G249" s="19" t="s">
        <v>95</v>
      </c>
      <c r="H249" s="52" t="s">
        <v>26</v>
      </c>
    </row>
    <row r="250" spans="2:8" ht="18.75" x14ac:dyDescent="0.25">
      <c r="B250" s="116"/>
      <c r="C250" s="22" t="s">
        <v>107</v>
      </c>
      <c r="D250" s="19">
        <v>110</v>
      </c>
      <c r="E250" s="19" t="s">
        <v>93</v>
      </c>
      <c r="F250" s="19">
        <v>4962.75</v>
      </c>
      <c r="G250" s="19" t="s">
        <v>95</v>
      </c>
      <c r="H250" s="52" t="s">
        <v>26</v>
      </c>
    </row>
    <row r="251" spans="2:8" ht="18.75" x14ac:dyDescent="0.25">
      <c r="B251" s="116"/>
      <c r="C251" s="22" t="s">
        <v>107</v>
      </c>
      <c r="D251" s="19">
        <v>90</v>
      </c>
      <c r="E251" s="19" t="s">
        <v>94</v>
      </c>
      <c r="F251" s="19">
        <v>7598.14</v>
      </c>
      <c r="G251" s="19" t="s">
        <v>95</v>
      </c>
      <c r="H251" s="52" t="s">
        <v>26</v>
      </c>
    </row>
    <row r="252" spans="2:8" ht="18.75" x14ac:dyDescent="0.25">
      <c r="B252" s="116"/>
      <c r="C252" s="22" t="s">
        <v>107</v>
      </c>
      <c r="D252" s="19">
        <v>75</v>
      </c>
      <c r="E252" s="19" t="s">
        <v>94</v>
      </c>
      <c r="F252" s="19">
        <v>11294.41</v>
      </c>
      <c r="G252" s="19" t="s">
        <v>95</v>
      </c>
      <c r="H252" s="52" t="s">
        <v>26</v>
      </c>
    </row>
    <row r="253" spans="2:8" ht="18.75" x14ac:dyDescent="0.25">
      <c r="B253" s="116"/>
      <c r="C253" s="22" t="s">
        <v>107</v>
      </c>
      <c r="D253" s="19">
        <v>63</v>
      </c>
      <c r="E253" s="19" t="s">
        <v>94</v>
      </c>
      <c r="F253" s="19">
        <v>36664.18</v>
      </c>
      <c r="G253" s="19" t="s">
        <v>95</v>
      </c>
      <c r="H253" s="52" t="s">
        <v>26</v>
      </c>
    </row>
    <row r="254" spans="2:8" ht="18.75" x14ac:dyDescent="0.25">
      <c r="B254" s="116"/>
      <c r="C254" s="22" t="s">
        <v>107</v>
      </c>
      <c r="D254" s="19">
        <v>125</v>
      </c>
      <c r="E254" s="19" t="s">
        <v>141</v>
      </c>
      <c r="F254" s="19">
        <v>20</v>
      </c>
      <c r="G254" s="19" t="s">
        <v>95</v>
      </c>
      <c r="H254" s="52" t="s">
        <v>26</v>
      </c>
    </row>
    <row r="255" spans="2:8" ht="18.75" x14ac:dyDescent="0.25">
      <c r="B255" s="116"/>
      <c r="C255" s="22" t="s">
        <v>107</v>
      </c>
      <c r="D255" s="19">
        <v>100</v>
      </c>
      <c r="E255" s="19" t="s">
        <v>141</v>
      </c>
      <c r="F255" s="19">
        <v>42.58</v>
      </c>
      <c r="G255" s="19" t="s">
        <v>95</v>
      </c>
      <c r="H255" s="52" t="s">
        <v>26</v>
      </c>
    </row>
    <row r="256" spans="2:8" ht="18.75" x14ac:dyDescent="0.25">
      <c r="B256" s="116"/>
      <c r="C256" s="22" t="s">
        <v>107</v>
      </c>
      <c r="D256" s="19">
        <v>80</v>
      </c>
      <c r="E256" s="19" t="s">
        <v>141</v>
      </c>
      <c r="F256" s="19">
        <v>136.63999999999999</v>
      </c>
      <c r="G256" s="19" t="s">
        <v>95</v>
      </c>
      <c r="H256" s="52" t="s">
        <v>26</v>
      </c>
    </row>
    <row r="257" spans="2:8" ht="24.75" customHeight="1" thickBot="1" x14ac:dyDescent="0.3">
      <c r="B257" s="117"/>
      <c r="C257" s="23" t="s">
        <v>107</v>
      </c>
      <c r="D257" s="20">
        <v>60</v>
      </c>
      <c r="E257" s="20" t="s">
        <v>141</v>
      </c>
      <c r="F257" s="20">
        <v>186.64</v>
      </c>
      <c r="G257" s="19" t="s">
        <v>95</v>
      </c>
      <c r="H257" s="54" t="s">
        <v>26</v>
      </c>
    </row>
    <row r="258" spans="2:8" ht="24.75" customHeight="1" x14ac:dyDescent="0.25">
      <c r="B258" s="118" t="s">
        <v>39</v>
      </c>
      <c r="C258" s="59" t="s">
        <v>107</v>
      </c>
      <c r="D258" s="57">
        <v>50</v>
      </c>
      <c r="E258" s="57" t="s">
        <v>94</v>
      </c>
      <c r="F258" s="57">
        <v>8414</v>
      </c>
      <c r="G258" s="57" t="s">
        <v>99</v>
      </c>
      <c r="H258" s="60" t="s">
        <v>26</v>
      </c>
    </row>
    <row r="259" spans="2:8" ht="24.75" customHeight="1" x14ac:dyDescent="0.25">
      <c r="B259" s="119"/>
      <c r="C259" s="51" t="s">
        <v>107</v>
      </c>
      <c r="D259" s="19">
        <v>50</v>
      </c>
      <c r="E259" s="19" t="s">
        <v>94</v>
      </c>
      <c r="F259" s="19">
        <v>13280</v>
      </c>
      <c r="G259" s="19" t="s">
        <v>99</v>
      </c>
      <c r="H259" s="52" t="s">
        <v>26</v>
      </c>
    </row>
    <row r="260" spans="2:8" ht="24.75" customHeight="1" x14ac:dyDescent="0.25">
      <c r="B260" s="119"/>
      <c r="C260" s="51" t="s">
        <v>107</v>
      </c>
      <c r="D260" s="19">
        <v>110</v>
      </c>
      <c r="E260" s="19" t="s">
        <v>93</v>
      </c>
      <c r="F260" s="19">
        <v>967</v>
      </c>
      <c r="G260" s="19" t="s">
        <v>99</v>
      </c>
      <c r="H260" s="52" t="s">
        <v>26</v>
      </c>
    </row>
    <row r="261" spans="2:8" ht="24.75" customHeight="1" x14ac:dyDescent="0.25">
      <c r="B261" s="119"/>
      <c r="C261" s="51" t="s">
        <v>107</v>
      </c>
      <c r="D261" s="19">
        <v>63</v>
      </c>
      <c r="E261" s="19" t="s">
        <v>93</v>
      </c>
      <c r="F261" s="19">
        <v>5950</v>
      </c>
      <c r="G261" s="19" t="s">
        <v>99</v>
      </c>
      <c r="H261" s="52" t="s">
        <v>26</v>
      </c>
    </row>
    <row r="262" spans="2:8" ht="24.75" customHeight="1" x14ac:dyDescent="0.25">
      <c r="B262" s="119"/>
      <c r="C262" s="51" t="s">
        <v>107</v>
      </c>
      <c r="D262" s="19">
        <v>63</v>
      </c>
      <c r="E262" s="19" t="s">
        <v>94</v>
      </c>
      <c r="F262" s="19">
        <v>30136.73</v>
      </c>
      <c r="G262" s="19" t="s">
        <v>99</v>
      </c>
      <c r="H262" s="52" t="s">
        <v>25</v>
      </c>
    </row>
    <row r="263" spans="2:8" ht="24.75" customHeight="1" x14ac:dyDescent="0.25">
      <c r="B263" s="119"/>
      <c r="C263" s="51" t="s">
        <v>107</v>
      </c>
      <c r="D263" s="19">
        <v>50</v>
      </c>
      <c r="E263" s="19" t="s">
        <v>94</v>
      </c>
      <c r="F263" s="19">
        <v>55</v>
      </c>
      <c r="G263" s="19" t="s">
        <v>99</v>
      </c>
      <c r="H263" s="52" t="s">
        <v>25</v>
      </c>
    </row>
    <row r="264" spans="2:8" ht="24.75" customHeight="1" x14ac:dyDescent="0.25">
      <c r="B264" s="119"/>
      <c r="C264" s="51" t="s">
        <v>107</v>
      </c>
      <c r="D264" s="19">
        <v>63</v>
      </c>
      <c r="E264" s="19" t="s">
        <v>94</v>
      </c>
      <c r="F264" s="19">
        <v>700</v>
      </c>
      <c r="G264" s="19" t="s">
        <v>99</v>
      </c>
      <c r="H264" s="52" t="s">
        <v>25</v>
      </c>
    </row>
    <row r="265" spans="2:8" ht="24.75" customHeight="1" x14ac:dyDescent="0.25">
      <c r="B265" s="119"/>
      <c r="C265" s="51" t="s">
        <v>107</v>
      </c>
      <c r="D265" s="19">
        <v>160</v>
      </c>
      <c r="E265" s="19" t="s">
        <v>93</v>
      </c>
      <c r="F265" s="19">
        <v>3142</v>
      </c>
      <c r="G265" s="19" t="s">
        <v>99</v>
      </c>
      <c r="H265" s="52" t="s">
        <v>25</v>
      </c>
    </row>
    <row r="266" spans="2:8" ht="24.75" customHeight="1" thickBot="1" x14ac:dyDescent="0.3">
      <c r="B266" s="120"/>
      <c r="C266" s="53" t="s">
        <v>107</v>
      </c>
      <c r="D266" s="20">
        <v>50</v>
      </c>
      <c r="E266" s="20" t="s">
        <v>94</v>
      </c>
      <c r="F266" s="20">
        <v>2335</v>
      </c>
      <c r="G266" s="20" t="s">
        <v>99</v>
      </c>
      <c r="H266" s="54" t="s">
        <v>25</v>
      </c>
    </row>
    <row r="267" spans="2:8" ht="24.75" customHeight="1" x14ac:dyDescent="0.25">
      <c r="B267" s="108" t="s">
        <v>33</v>
      </c>
      <c r="C267" s="51" t="s">
        <v>107</v>
      </c>
      <c r="D267" s="18">
        <v>63</v>
      </c>
      <c r="E267" s="18" t="s">
        <v>94</v>
      </c>
      <c r="F267" s="18">
        <v>75</v>
      </c>
      <c r="G267" s="18" t="s">
        <v>95</v>
      </c>
      <c r="H267" s="50" t="s">
        <v>25</v>
      </c>
    </row>
    <row r="268" spans="2:8" ht="24.75" customHeight="1" x14ac:dyDescent="0.25">
      <c r="B268" s="109"/>
      <c r="C268" s="51" t="s">
        <v>107</v>
      </c>
      <c r="D268" s="19">
        <v>63</v>
      </c>
      <c r="E268" s="19" t="s">
        <v>94</v>
      </c>
      <c r="F268" s="19">
        <v>127</v>
      </c>
      <c r="G268" s="19" t="s">
        <v>95</v>
      </c>
      <c r="H268" s="52" t="s">
        <v>26</v>
      </c>
    </row>
    <row r="269" spans="2:8" ht="24.75" customHeight="1" x14ac:dyDescent="0.25">
      <c r="B269" s="109"/>
      <c r="C269" s="51" t="s">
        <v>107</v>
      </c>
      <c r="D269" s="19">
        <v>50</v>
      </c>
      <c r="E269" s="19" t="s">
        <v>94</v>
      </c>
      <c r="F269" s="19">
        <v>70</v>
      </c>
      <c r="G269" s="19" t="s">
        <v>95</v>
      </c>
      <c r="H269" s="52" t="s">
        <v>26</v>
      </c>
    </row>
    <row r="270" spans="2:8" ht="24.75" customHeight="1" x14ac:dyDescent="0.25">
      <c r="B270" s="109"/>
      <c r="C270" s="51" t="s">
        <v>107</v>
      </c>
      <c r="D270" s="19">
        <v>75</v>
      </c>
      <c r="E270" s="19" t="s">
        <v>94</v>
      </c>
      <c r="F270" s="19">
        <v>126</v>
      </c>
      <c r="G270" s="19" t="s">
        <v>95</v>
      </c>
      <c r="H270" s="52" t="s">
        <v>26</v>
      </c>
    </row>
    <row r="271" spans="2:8" ht="24.75" customHeight="1" x14ac:dyDescent="0.25">
      <c r="B271" s="109"/>
      <c r="C271" s="51" t="s">
        <v>107</v>
      </c>
      <c r="D271" s="19">
        <v>50</v>
      </c>
      <c r="E271" s="19" t="s">
        <v>94</v>
      </c>
      <c r="F271" s="19">
        <v>60</v>
      </c>
      <c r="G271" s="19" t="s">
        <v>95</v>
      </c>
      <c r="H271" s="52" t="s">
        <v>26</v>
      </c>
    </row>
    <row r="272" spans="2:8" ht="24.75" customHeight="1" x14ac:dyDescent="0.25">
      <c r="B272" s="109"/>
      <c r="C272" s="51" t="s">
        <v>107</v>
      </c>
      <c r="D272" s="19">
        <v>63</v>
      </c>
      <c r="E272" s="19" t="s">
        <v>94</v>
      </c>
      <c r="F272" s="19">
        <v>65</v>
      </c>
      <c r="G272" s="19" t="s">
        <v>95</v>
      </c>
      <c r="H272" s="52" t="s">
        <v>26</v>
      </c>
    </row>
    <row r="273" spans="2:8" ht="24.75" customHeight="1" x14ac:dyDescent="0.25">
      <c r="B273" s="109"/>
      <c r="C273" s="51" t="s">
        <v>107</v>
      </c>
      <c r="D273" s="19">
        <v>63</v>
      </c>
      <c r="E273" s="19" t="s">
        <v>94</v>
      </c>
      <c r="F273" s="19">
        <v>84</v>
      </c>
      <c r="G273" s="19" t="s">
        <v>95</v>
      </c>
      <c r="H273" s="52" t="s">
        <v>26</v>
      </c>
    </row>
    <row r="274" spans="2:8" ht="24.75" customHeight="1" x14ac:dyDescent="0.25">
      <c r="B274" s="109"/>
      <c r="C274" s="51" t="s">
        <v>107</v>
      </c>
      <c r="D274" s="19">
        <v>50</v>
      </c>
      <c r="E274" s="19" t="s">
        <v>94</v>
      </c>
      <c r="F274" s="19">
        <v>60</v>
      </c>
      <c r="G274" s="19" t="s">
        <v>95</v>
      </c>
      <c r="H274" s="52" t="s">
        <v>26</v>
      </c>
    </row>
    <row r="275" spans="2:8" ht="24.75" customHeight="1" x14ac:dyDescent="0.25">
      <c r="B275" s="109"/>
      <c r="C275" s="51" t="s">
        <v>107</v>
      </c>
      <c r="D275" s="19">
        <v>50</v>
      </c>
      <c r="E275" s="19" t="s">
        <v>94</v>
      </c>
      <c r="F275" s="19">
        <v>53</v>
      </c>
      <c r="G275" s="19" t="s">
        <v>95</v>
      </c>
      <c r="H275" s="52" t="s">
        <v>26</v>
      </c>
    </row>
    <row r="276" spans="2:8" ht="24.75" customHeight="1" x14ac:dyDescent="0.25">
      <c r="B276" s="109"/>
      <c r="C276" s="51" t="s">
        <v>107</v>
      </c>
      <c r="D276" s="19">
        <v>50</v>
      </c>
      <c r="E276" s="19" t="s">
        <v>94</v>
      </c>
      <c r="F276" s="19">
        <v>75</v>
      </c>
      <c r="G276" s="19" t="s">
        <v>95</v>
      </c>
      <c r="H276" s="52" t="s">
        <v>26</v>
      </c>
    </row>
    <row r="277" spans="2:8" ht="24.75" customHeight="1" x14ac:dyDescent="0.25">
      <c r="B277" s="109"/>
      <c r="C277" s="51" t="s">
        <v>107</v>
      </c>
      <c r="D277" s="19">
        <v>50</v>
      </c>
      <c r="E277" s="19" t="s">
        <v>94</v>
      </c>
      <c r="F277" s="19">
        <v>65</v>
      </c>
      <c r="G277" s="19" t="s">
        <v>95</v>
      </c>
      <c r="H277" s="52" t="s">
        <v>26</v>
      </c>
    </row>
    <row r="278" spans="2:8" ht="24.75" customHeight="1" x14ac:dyDescent="0.25">
      <c r="B278" s="109"/>
      <c r="C278" s="51" t="s">
        <v>107</v>
      </c>
      <c r="D278" s="19">
        <v>50</v>
      </c>
      <c r="E278" s="19" t="s">
        <v>94</v>
      </c>
      <c r="F278" s="19">
        <v>55</v>
      </c>
      <c r="G278" s="19" t="s">
        <v>95</v>
      </c>
      <c r="H278" s="52" t="s">
        <v>26</v>
      </c>
    </row>
    <row r="279" spans="2:8" ht="24.75" customHeight="1" x14ac:dyDescent="0.25">
      <c r="B279" s="109"/>
      <c r="C279" s="51" t="s">
        <v>107</v>
      </c>
      <c r="D279" s="19">
        <v>50</v>
      </c>
      <c r="E279" s="19" t="s">
        <v>94</v>
      </c>
      <c r="F279" s="19">
        <v>46</v>
      </c>
      <c r="G279" s="19" t="s">
        <v>95</v>
      </c>
      <c r="H279" s="52" t="s">
        <v>26</v>
      </c>
    </row>
    <row r="280" spans="2:8" ht="24.75" customHeight="1" x14ac:dyDescent="0.25">
      <c r="B280" s="109"/>
      <c r="C280" s="51" t="s">
        <v>107</v>
      </c>
      <c r="D280" s="19">
        <v>63</v>
      </c>
      <c r="E280" s="19" t="s">
        <v>94</v>
      </c>
      <c r="F280" s="19">
        <v>70</v>
      </c>
      <c r="G280" s="19" t="s">
        <v>95</v>
      </c>
      <c r="H280" s="52" t="s">
        <v>26</v>
      </c>
    </row>
    <row r="281" spans="2:8" ht="24.75" customHeight="1" x14ac:dyDescent="0.25">
      <c r="B281" s="109"/>
      <c r="C281" s="51" t="s">
        <v>107</v>
      </c>
      <c r="D281" s="19">
        <v>50</v>
      </c>
      <c r="E281" s="19" t="s">
        <v>94</v>
      </c>
      <c r="F281" s="19">
        <v>160</v>
      </c>
      <c r="G281" s="19" t="s">
        <v>95</v>
      </c>
      <c r="H281" s="52" t="s">
        <v>26</v>
      </c>
    </row>
    <row r="282" spans="2:8" ht="24.75" customHeight="1" x14ac:dyDescent="0.25">
      <c r="B282" s="109"/>
      <c r="C282" s="51" t="s">
        <v>107</v>
      </c>
      <c r="D282" s="19">
        <v>110</v>
      </c>
      <c r="E282" s="19" t="s">
        <v>94</v>
      </c>
      <c r="F282" s="19">
        <v>2952</v>
      </c>
      <c r="G282" s="19" t="s">
        <v>95</v>
      </c>
      <c r="H282" s="52" t="s">
        <v>26</v>
      </c>
    </row>
    <row r="283" spans="2:8" ht="24.75" customHeight="1" x14ac:dyDescent="0.25">
      <c r="B283" s="109"/>
      <c r="C283" s="51" t="s">
        <v>107</v>
      </c>
      <c r="D283" s="19">
        <v>90</v>
      </c>
      <c r="E283" s="19" t="s">
        <v>94</v>
      </c>
      <c r="F283" s="19">
        <v>4017</v>
      </c>
      <c r="G283" s="19" t="s">
        <v>95</v>
      </c>
      <c r="H283" s="52" t="s">
        <v>26</v>
      </c>
    </row>
    <row r="284" spans="2:8" ht="24.75" customHeight="1" x14ac:dyDescent="0.25">
      <c r="B284" s="109"/>
      <c r="C284" s="51" t="s">
        <v>107</v>
      </c>
      <c r="D284" s="19">
        <v>75</v>
      </c>
      <c r="E284" s="19" t="s">
        <v>94</v>
      </c>
      <c r="F284" s="19">
        <v>2718</v>
      </c>
      <c r="G284" s="19" t="s">
        <v>95</v>
      </c>
      <c r="H284" s="52" t="s">
        <v>26</v>
      </c>
    </row>
    <row r="285" spans="2:8" ht="24.75" customHeight="1" x14ac:dyDescent="0.25">
      <c r="B285" s="109"/>
      <c r="C285" s="51" t="s">
        <v>107</v>
      </c>
      <c r="D285" s="19">
        <v>63</v>
      </c>
      <c r="E285" s="19" t="s">
        <v>94</v>
      </c>
      <c r="F285" s="19">
        <v>4931</v>
      </c>
      <c r="G285" s="19" t="s">
        <v>95</v>
      </c>
      <c r="H285" s="52" t="s">
        <v>26</v>
      </c>
    </row>
    <row r="286" spans="2:8" ht="24.75" customHeight="1" x14ac:dyDescent="0.25">
      <c r="B286" s="109"/>
      <c r="C286" s="51" t="s">
        <v>107</v>
      </c>
      <c r="D286" s="19">
        <v>125</v>
      </c>
      <c r="E286" s="19" t="s">
        <v>93</v>
      </c>
      <c r="F286" s="19">
        <v>660</v>
      </c>
      <c r="G286" s="19" t="s">
        <v>95</v>
      </c>
      <c r="H286" s="52" t="s">
        <v>143</v>
      </c>
    </row>
    <row r="287" spans="2:8" ht="24.75" customHeight="1" x14ac:dyDescent="0.25">
      <c r="B287" s="109"/>
      <c r="C287" s="51" t="s">
        <v>107</v>
      </c>
      <c r="D287" s="19">
        <v>110</v>
      </c>
      <c r="E287" s="19" t="s">
        <v>93</v>
      </c>
      <c r="F287" s="19">
        <v>1752</v>
      </c>
      <c r="G287" s="19" t="s">
        <v>95</v>
      </c>
      <c r="H287" s="52" t="s">
        <v>143</v>
      </c>
    </row>
    <row r="288" spans="2:8" ht="24.75" customHeight="1" x14ac:dyDescent="0.25">
      <c r="B288" s="109"/>
      <c r="C288" s="51" t="s">
        <v>107</v>
      </c>
      <c r="D288" s="19">
        <v>90</v>
      </c>
      <c r="E288" s="19" t="s">
        <v>93</v>
      </c>
      <c r="F288" s="19">
        <v>198</v>
      </c>
      <c r="G288" s="19" t="s">
        <v>95</v>
      </c>
      <c r="H288" s="52" t="s">
        <v>143</v>
      </c>
    </row>
    <row r="289" spans="2:8" ht="24.75" customHeight="1" x14ac:dyDescent="0.25">
      <c r="B289" s="109"/>
      <c r="C289" s="51" t="s">
        <v>107</v>
      </c>
      <c r="D289" s="19">
        <v>63</v>
      </c>
      <c r="E289" s="19" t="s">
        <v>93</v>
      </c>
      <c r="F289" s="19">
        <v>438</v>
      </c>
      <c r="G289" s="19" t="s">
        <v>95</v>
      </c>
      <c r="H289" s="52" t="s">
        <v>143</v>
      </c>
    </row>
    <row r="290" spans="2:8" ht="24.75" customHeight="1" x14ac:dyDescent="0.25">
      <c r="B290" s="109"/>
      <c r="C290" s="51" t="s">
        <v>107</v>
      </c>
      <c r="D290" s="19">
        <v>60</v>
      </c>
      <c r="E290" s="19" t="s">
        <v>97</v>
      </c>
      <c r="F290" s="19">
        <v>16765</v>
      </c>
      <c r="G290" s="19" t="s">
        <v>95</v>
      </c>
      <c r="H290" s="52" t="s">
        <v>26</v>
      </c>
    </row>
    <row r="291" spans="2:8" ht="24.75" customHeight="1" x14ac:dyDescent="0.25">
      <c r="B291" s="109"/>
      <c r="C291" s="51" t="s">
        <v>107</v>
      </c>
      <c r="D291" s="19">
        <v>63</v>
      </c>
      <c r="E291" s="19" t="s">
        <v>93</v>
      </c>
      <c r="F291" s="19">
        <v>7362</v>
      </c>
      <c r="G291" s="19" t="s">
        <v>95</v>
      </c>
      <c r="H291" s="52" t="s">
        <v>26</v>
      </c>
    </row>
    <row r="292" spans="2:8" ht="24.75" customHeight="1" x14ac:dyDescent="0.25">
      <c r="B292" s="109"/>
      <c r="C292" s="51" t="s">
        <v>107</v>
      </c>
      <c r="D292" s="19">
        <v>50</v>
      </c>
      <c r="E292" s="19" t="s">
        <v>94</v>
      </c>
      <c r="F292" s="19">
        <v>5000</v>
      </c>
      <c r="G292" s="19" t="s">
        <v>95</v>
      </c>
      <c r="H292" s="52" t="s">
        <v>26</v>
      </c>
    </row>
    <row r="293" spans="2:8" ht="24.75" customHeight="1" x14ac:dyDescent="0.25">
      <c r="B293" s="109"/>
      <c r="C293" s="51" t="s">
        <v>107</v>
      </c>
      <c r="D293" s="19">
        <v>225</v>
      </c>
      <c r="E293" s="19" t="s">
        <v>93</v>
      </c>
      <c r="F293" s="19">
        <v>200</v>
      </c>
      <c r="G293" s="19" t="s">
        <v>95</v>
      </c>
      <c r="H293" s="52" t="s">
        <v>26</v>
      </c>
    </row>
    <row r="294" spans="2:8" ht="24.75" customHeight="1" x14ac:dyDescent="0.25">
      <c r="B294" s="109"/>
      <c r="C294" s="51" t="s">
        <v>107</v>
      </c>
      <c r="D294" s="19">
        <v>200</v>
      </c>
      <c r="E294" s="19" t="s">
        <v>93</v>
      </c>
      <c r="F294" s="19">
        <v>2400</v>
      </c>
      <c r="G294" s="19" t="s">
        <v>95</v>
      </c>
      <c r="H294" s="52" t="s">
        <v>26</v>
      </c>
    </row>
    <row r="295" spans="2:8" ht="24.75" customHeight="1" x14ac:dyDescent="0.25">
      <c r="B295" s="109"/>
      <c r="C295" s="51" t="s">
        <v>107</v>
      </c>
      <c r="D295" s="19">
        <v>160</v>
      </c>
      <c r="E295" s="19" t="s">
        <v>93</v>
      </c>
      <c r="F295" s="19">
        <v>4000</v>
      </c>
      <c r="G295" s="19" t="s">
        <v>95</v>
      </c>
      <c r="H295" s="52" t="s">
        <v>26</v>
      </c>
    </row>
    <row r="296" spans="2:8" ht="24.75" customHeight="1" x14ac:dyDescent="0.25">
      <c r="B296" s="109"/>
      <c r="C296" s="51" t="s">
        <v>107</v>
      </c>
      <c r="D296" s="19">
        <v>140</v>
      </c>
      <c r="E296" s="19" t="s">
        <v>93</v>
      </c>
      <c r="F296" s="19">
        <v>1100</v>
      </c>
      <c r="G296" s="19" t="s">
        <v>95</v>
      </c>
      <c r="H296" s="52" t="s">
        <v>26</v>
      </c>
    </row>
    <row r="297" spans="2:8" ht="24.75" customHeight="1" x14ac:dyDescent="0.25">
      <c r="B297" s="109"/>
      <c r="C297" s="51" t="s">
        <v>107</v>
      </c>
      <c r="D297" s="19">
        <v>125</v>
      </c>
      <c r="E297" s="19" t="s">
        <v>93</v>
      </c>
      <c r="F297" s="19">
        <v>1600</v>
      </c>
      <c r="G297" s="19" t="s">
        <v>95</v>
      </c>
      <c r="H297" s="52" t="s">
        <v>26</v>
      </c>
    </row>
    <row r="298" spans="2:8" ht="24.75" customHeight="1" x14ac:dyDescent="0.25">
      <c r="B298" s="109"/>
      <c r="C298" s="51" t="s">
        <v>107</v>
      </c>
      <c r="D298" s="19">
        <v>110</v>
      </c>
      <c r="E298" s="19" t="s">
        <v>93</v>
      </c>
      <c r="F298" s="19">
        <v>2400</v>
      </c>
      <c r="G298" s="19" t="s">
        <v>95</v>
      </c>
      <c r="H298" s="52" t="s">
        <v>26</v>
      </c>
    </row>
    <row r="299" spans="2:8" ht="24.75" customHeight="1" x14ac:dyDescent="0.25">
      <c r="B299" s="109"/>
      <c r="C299" s="51" t="s">
        <v>107</v>
      </c>
      <c r="D299" s="19">
        <v>90</v>
      </c>
      <c r="E299" s="19" t="s">
        <v>94</v>
      </c>
      <c r="F299" s="19">
        <v>1600</v>
      </c>
      <c r="G299" s="19" t="s">
        <v>95</v>
      </c>
      <c r="H299" s="52" t="s">
        <v>26</v>
      </c>
    </row>
    <row r="300" spans="2:8" ht="24.75" customHeight="1" x14ac:dyDescent="0.25">
      <c r="B300" s="109"/>
      <c r="C300" s="51" t="s">
        <v>107</v>
      </c>
      <c r="D300" s="19">
        <v>75</v>
      </c>
      <c r="E300" s="19" t="s">
        <v>94</v>
      </c>
      <c r="F300" s="19">
        <v>2900</v>
      </c>
      <c r="G300" s="19" t="s">
        <v>95</v>
      </c>
      <c r="H300" s="52" t="s">
        <v>26</v>
      </c>
    </row>
    <row r="301" spans="2:8" ht="24.75" customHeight="1" x14ac:dyDescent="0.25">
      <c r="B301" s="109"/>
      <c r="C301" s="51" t="s">
        <v>107</v>
      </c>
      <c r="D301" s="19">
        <v>63</v>
      </c>
      <c r="E301" s="19" t="s">
        <v>94</v>
      </c>
      <c r="F301" s="19">
        <v>6800</v>
      </c>
      <c r="G301" s="19" t="s">
        <v>95</v>
      </c>
      <c r="H301" s="52" t="s">
        <v>26</v>
      </c>
    </row>
    <row r="302" spans="2:8" ht="24.75" customHeight="1" x14ac:dyDescent="0.25">
      <c r="B302" s="109"/>
      <c r="C302" s="51" t="s">
        <v>107</v>
      </c>
      <c r="D302" s="19">
        <v>50</v>
      </c>
      <c r="E302" s="19" t="s">
        <v>94</v>
      </c>
      <c r="F302" s="19">
        <v>22000</v>
      </c>
      <c r="G302" s="19" t="s">
        <v>95</v>
      </c>
      <c r="H302" s="52" t="s">
        <v>26</v>
      </c>
    </row>
    <row r="303" spans="2:8" ht="24.75" customHeight="1" x14ac:dyDescent="0.25">
      <c r="B303" s="109"/>
      <c r="C303" s="51" t="s">
        <v>107</v>
      </c>
      <c r="D303" s="19">
        <v>200</v>
      </c>
      <c r="E303" s="19" t="s">
        <v>141</v>
      </c>
      <c r="F303" s="19">
        <v>15</v>
      </c>
      <c r="G303" s="19" t="s">
        <v>95</v>
      </c>
      <c r="H303" s="52" t="s">
        <v>26</v>
      </c>
    </row>
    <row r="304" spans="2:8" ht="24.75" customHeight="1" x14ac:dyDescent="0.25">
      <c r="B304" s="109"/>
      <c r="C304" s="51" t="s">
        <v>107</v>
      </c>
      <c r="D304" s="19">
        <v>150</v>
      </c>
      <c r="E304" s="19" t="s">
        <v>141</v>
      </c>
      <c r="F304" s="19">
        <v>15</v>
      </c>
      <c r="G304" s="19" t="s">
        <v>95</v>
      </c>
      <c r="H304" s="52" t="s">
        <v>26</v>
      </c>
    </row>
    <row r="305" spans="2:8" ht="24.75" customHeight="1" x14ac:dyDescent="0.25">
      <c r="B305" s="109"/>
      <c r="C305" s="51" t="s">
        <v>107</v>
      </c>
      <c r="D305" s="19">
        <v>160</v>
      </c>
      <c r="E305" s="19" t="s">
        <v>93</v>
      </c>
      <c r="F305" s="19">
        <v>250</v>
      </c>
      <c r="G305" s="19" t="s">
        <v>95</v>
      </c>
      <c r="H305" s="52" t="s">
        <v>26</v>
      </c>
    </row>
    <row r="306" spans="2:8" ht="18.75" x14ac:dyDescent="0.25">
      <c r="B306" s="109"/>
      <c r="C306" s="51" t="s">
        <v>107</v>
      </c>
      <c r="D306" s="19">
        <v>110</v>
      </c>
      <c r="E306" s="19" t="s">
        <v>93</v>
      </c>
      <c r="F306" s="19">
        <v>400</v>
      </c>
      <c r="G306" s="19" t="s">
        <v>95</v>
      </c>
      <c r="H306" s="52" t="s">
        <v>26</v>
      </c>
    </row>
    <row r="307" spans="2:8" ht="18.75" x14ac:dyDescent="0.25">
      <c r="B307" s="109"/>
      <c r="C307" s="51" t="s">
        <v>107</v>
      </c>
      <c r="D307" s="19">
        <v>140</v>
      </c>
      <c r="E307" s="19" t="s">
        <v>93</v>
      </c>
      <c r="F307" s="19">
        <v>447</v>
      </c>
      <c r="G307" s="19" t="s">
        <v>95</v>
      </c>
      <c r="H307" s="52" t="s">
        <v>26</v>
      </c>
    </row>
    <row r="308" spans="2:8" ht="18.75" x14ac:dyDescent="0.25">
      <c r="B308" s="109"/>
      <c r="C308" s="51" t="s">
        <v>107</v>
      </c>
      <c r="D308" s="19">
        <v>90</v>
      </c>
      <c r="E308" s="19" t="s">
        <v>93</v>
      </c>
      <c r="F308" s="19">
        <v>1952</v>
      </c>
      <c r="G308" s="19" t="s">
        <v>95</v>
      </c>
      <c r="H308" s="52" t="s">
        <v>26</v>
      </c>
    </row>
    <row r="309" spans="2:8" ht="18.75" x14ac:dyDescent="0.25">
      <c r="B309" s="109"/>
      <c r="C309" s="51" t="s">
        <v>107</v>
      </c>
      <c r="D309" s="19">
        <v>75</v>
      </c>
      <c r="E309" s="19" t="s">
        <v>93</v>
      </c>
      <c r="F309" s="19">
        <v>66</v>
      </c>
      <c r="G309" s="19" t="s">
        <v>95</v>
      </c>
      <c r="H309" s="52" t="s">
        <v>26</v>
      </c>
    </row>
    <row r="310" spans="2:8" ht="18.75" x14ac:dyDescent="0.25">
      <c r="B310" s="109"/>
      <c r="C310" s="51" t="s">
        <v>107</v>
      </c>
      <c r="D310" s="19">
        <v>63</v>
      </c>
      <c r="E310" s="19" t="s">
        <v>93</v>
      </c>
      <c r="F310" s="19">
        <v>24</v>
      </c>
      <c r="G310" s="19" t="s">
        <v>95</v>
      </c>
      <c r="H310" s="52" t="s">
        <v>26</v>
      </c>
    </row>
    <row r="311" spans="2:8" ht="18.75" x14ac:dyDescent="0.25">
      <c r="B311" s="109"/>
      <c r="C311" s="51" t="s">
        <v>107</v>
      </c>
      <c r="D311" s="19">
        <v>80</v>
      </c>
      <c r="E311" s="19" t="s">
        <v>97</v>
      </c>
      <c r="F311" s="19">
        <v>3529</v>
      </c>
      <c r="G311" s="19" t="s">
        <v>95</v>
      </c>
      <c r="H311" s="52" t="s">
        <v>26</v>
      </c>
    </row>
    <row r="312" spans="2:8" ht="18.75" x14ac:dyDescent="0.25">
      <c r="B312" s="109"/>
      <c r="C312" s="51" t="s">
        <v>107</v>
      </c>
      <c r="D312" s="19">
        <v>60</v>
      </c>
      <c r="E312" s="19" t="s">
        <v>141</v>
      </c>
      <c r="F312" s="19">
        <v>83</v>
      </c>
      <c r="G312" s="19" t="s">
        <v>95</v>
      </c>
      <c r="H312" s="52" t="s">
        <v>26</v>
      </c>
    </row>
    <row r="313" spans="2:8" ht="18.75" x14ac:dyDescent="0.25">
      <c r="B313" s="109"/>
      <c r="C313" s="51" t="s">
        <v>107</v>
      </c>
      <c r="D313" s="19">
        <v>100</v>
      </c>
      <c r="E313" s="19" t="s">
        <v>97</v>
      </c>
      <c r="F313" s="19">
        <v>565</v>
      </c>
      <c r="G313" s="19" t="s">
        <v>95</v>
      </c>
      <c r="H313" s="52" t="s">
        <v>26</v>
      </c>
    </row>
    <row r="314" spans="2:8" ht="18.75" x14ac:dyDescent="0.25">
      <c r="B314" s="109"/>
      <c r="C314" s="51" t="s">
        <v>107</v>
      </c>
      <c r="D314" s="19">
        <v>150</v>
      </c>
      <c r="E314" s="19" t="s">
        <v>97</v>
      </c>
      <c r="F314" s="19">
        <v>1200</v>
      </c>
      <c r="G314" s="19" t="s">
        <v>95</v>
      </c>
      <c r="H314" s="52" t="s">
        <v>26</v>
      </c>
    </row>
    <row r="315" spans="2:8" ht="18.75" x14ac:dyDescent="0.25">
      <c r="B315" s="109"/>
      <c r="C315" s="51" t="s">
        <v>107</v>
      </c>
      <c r="D315" s="19">
        <v>90</v>
      </c>
      <c r="E315" s="19" t="s">
        <v>93</v>
      </c>
      <c r="F315" s="19">
        <v>2100</v>
      </c>
      <c r="G315" s="19" t="s">
        <v>95</v>
      </c>
      <c r="H315" s="52" t="s">
        <v>26</v>
      </c>
    </row>
    <row r="316" spans="2:8" ht="18.75" x14ac:dyDescent="0.25">
      <c r="B316" s="109"/>
      <c r="C316" s="51" t="s">
        <v>107</v>
      </c>
      <c r="D316" s="19">
        <v>63</v>
      </c>
      <c r="E316" s="19" t="s">
        <v>94</v>
      </c>
      <c r="F316" s="19">
        <v>6800</v>
      </c>
      <c r="G316" s="19" t="s">
        <v>95</v>
      </c>
      <c r="H316" s="52" t="s">
        <v>26</v>
      </c>
    </row>
    <row r="317" spans="2:8" ht="18.75" x14ac:dyDescent="0.25">
      <c r="B317" s="109"/>
      <c r="C317" s="51" t="s">
        <v>107</v>
      </c>
      <c r="D317" s="19">
        <v>63</v>
      </c>
      <c r="E317" s="19" t="s">
        <v>94</v>
      </c>
      <c r="F317" s="19">
        <v>400</v>
      </c>
      <c r="G317" s="19" t="s">
        <v>95</v>
      </c>
      <c r="H317" s="52" t="s">
        <v>26</v>
      </c>
    </row>
    <row r="318" spans="2:8" ht="18.75" x14ac:dyDescent="0.25">
      <c r="B318" s="109"/>
      <c r="C318" s="51" t="s">
        <v>107</v>
      </c>
      <c r="D318" s="19">
        <v>50</v>
      </c>
      <c r="E318" s="19" t="s">
        <v>94</v>
      </c>
      <c r="F318" s="19">
        <v>2610</v>
      </c>
      <c r="G318" s="19" t="s">
        <v>95</v>
      </c>
      <c r="H318" s="52" t="s">
        <v>26</v>
      </c>
    </row>
    <row r="319" spans="2:8" ht="18.75" x14ac:dyDescent="0.25">
      <c r="B319" s="109"/>
      <c r="C319" s="51" t="s">
        <v>107</v>
      </c>
      <c r="D319" s="19">
        <v>63</v>
      </c>
      <c r="E319" s="19" t="s">
        <v>94</v>
      </c>
      <c r="F319" s="19">
        <v>100</v>
      </c>
      <c r="G319" s="19" t="s">
        <v>95</v>
      </c>
      <c r="H319" s="52" t="s">
        <v>98</v>
      </c>
    </row>
    <row r="320" spans="2:8" ht="18.75" x14ac:dyDescent="0.25">
      <c r="B320" s="109"/>
      <c r="C320" s="51" t="s">
        <v>107</v>
      </c>
      <c r="D320" s="19">
        <v>63</v>
      </c>
      <c r="E320" s="19" t="s">
        <v>94</v>
      </c>
      <c r="F320" s="19">
        <v>100</v>
      </c>
      <c r="G320" s="19" t="s">
        <v>95</v>
      </c>
      <c r="H320" s="52" t="s">
        <v>98</v>
      </c>
    </row>
    <row r="321" spans="2:8" ht="18.75" x14ac:dyDescent="0.25">
      <c r="B321" s="109"/>
      <c r="C321" s="51" t="s">
        <v>107</v>
      </c>
      <c r="D321" s="19">
        <v>63</v>
      </c>
      <c r="E321" s="19" t="s">
        <v>94</v>
      </c>
      <c r="F321" s="19">
        <v>96</v>
      </c>
      <c r="G321" s="19" t="s">
        <v>95</v>
      </c>
      <c r="H321" s="52" t="s">
        <v>98</v>
      </c>
    </row>
    <row r="322" spans="2:8" ht="18.75" x14ac:dyDescent="0.25">
      <c r="B322" s="109"/>
      <c r="C322" s="51" t="s">
        <v>107</v>
      </c>
      <c r="D322" s="19">
        <v>75</v>
      </c>
      <c r="E322" s="19" t="s">
        <v>94</v>
      </c>
      <c r="F322" s="19">
        <v>227</v>
      </c>
      <c r="G322" s="19" t="s">
        <v>95</v>
      </c>
      <c r="H322" s="52" t="s">
        <v>98</v>
      </c>
    </row>
    <row r="323" spans="2:8" ht="18.75" x14ac:dyDescent="0.25">
      <c r="B323" s="109"/>
      <c r="C323" s="51" t="s">
        <v>107</v>
      </c>
      <c r="D323" s="19">
        <v>50</v>
      </c>
      <c r="E323" s="19" t="s">
        <v>94</v>
      </c>
      <c r="F323" s="19">
        <v>150</v>
      </c>
      <c r="G323" s="19" t="s">
        <v>95</v>
      </c>
      <c r="H323" s="52" t="s">
        <v>98</v>
      </c>
    </row>
    <row r="324" spans="2:8" ht="18.75" x14ac:dyDescent="0.25">
      <c r="B324" s="109"/>
      <c r="C324" s="51" t="s">
        <v>107</v>
      </c>
      <c r="D324" s="19">
        <v>60</v>
      </c>
      <c r="E324" s="19" t="s">
        <v>141</v>
      </c>
      <c r="F324" s="19">
        <v>115</v>
      </c>
      <c r="G324" s="19" t="s">
        <v>95</v>
      </c>
      <c r="H324" s="52" t="s">
        <v>26</v>
      </c>
    </row>
    <row r="325" spans="2:8" ht="18.75" x14ac:dyDescent="0.25">
      <c r="B325" s="109"/>
      <c r="C325" s="51" t="s">
        <v>107</v>
      </c>
      <c r="D325" s="19">
        <v>60</v>
      </c>
      <c r="E325" s="19" t="s">
        <v>141</v>
      </c>
      <c r="F325" s="19">
        <v>96</v>
      </c>
      <c r="G325" s="19" t="s">
        <v>95</v>
      </c>
      <c r="H325" s="52" t="s">
        <v>26</v>
      </c>
    </row>
    <row r="326" spans="2:8" ht="18.75" x14ac:dyDescent="0.25">
      <c r="B326" s="109"/>
      <c r="C326" s="51" t="s">
        <v>107</v>
      </c>
      <c r="D326" s="19">
        <v>63</v>
      </c>
      <c r="E326" s="19" t="s">
        <v>141</v>
      </c>
      <c r="F326" s="19">
        <v>4200</v>
      </c>
      <c r="G326" s="19" t="s">
        <v>95</v>
      </c>
      <c r="H326" s="52" t="s">
        <v>62</v>
      </c>
    </row>
    <row r="327" spans="2:8" ht="18.75" x14ac:dyDescent="0.25">
      <c r="B327" s="109"/>
      <c r="C327" s="51" t="s">
        <v>107</v>
      </c>
      <c r="D327" s="19">
        <v>50</v>
      </c>
      <c r="E327" s="19" t="s">
        <v>94</v>
      </c>
      <c r="F327" s="19">
        <v>46</v>
      </c>
      <c r="G327" s="19" t="s">
        <v>95</v>
      </c>
      <c r="H327" s="52" t="s">
        <v>98</v>
      </c>
    </row>
    <row r="328" spans="2:8" ht="18.75" x14ac:dyDescent="0.25">
      <c r="B328" s="109"/>
      <c r="C328" s="51" t="s">
        <v>107</v>
      </c>
      <c r="D328" s="19">
        <v>50</v>
      </c>
      <c r="E328" s="19" t="s">
        <v>94</v>
      </c>
      <c r="F328" s="19">
        <v>55</v>
      </c>
      <c r="G328" s="19" t="s">
        <v>95</v>
      </c>
      <c r="H328" s="52" t="s">
        <v>98</v>
      </c>
    </row>
    <row r="329" spans="2:8" ht="18.75" x14ac:dyDescent="0.25">
      <c r="B329" s="109"/>
      <c r="C329" s="51" t="s">
        <v>107</v>
      </c>
      <c r="D329" s="19">
        <v>50</v>
      </c>
      <c r="E329" s="19" t="s">
        <v>94</v>
      </c>
      <c r="F329" s="19">
        <v>75</v>
      </c>
      <c r="G329" s="19" t="s">
        <v>95</v>
      </c>
      <c r="H329" s="52" t="s">
        <v>98</v>
      </c>
    </row>
    <row r="330" spans="2:8" ht="18.75" x14ac:dyDescent="0.25">
      <c r="B330" s="109"/>
      <c r="C330" s="51" t="s">
        <v>107</v>
      </c>
      <c r="D330" s="19">
        <v>50</v>
      </c>
      <c r="E330" s="19" t="s">
        <v>94</v>
      </c>
      <c r="F330" s="19">
        <v>150</v>
      </c>
      <c r="G330" s="19" t="s">
        <v>95</v>
      </c>
      <c r="H330" s="52" t="s">
        <v>98</v>
      </c>
    </row>
    <row r="331" spans="2:8" ht="18.75" x14ac:dyDescent="0.25">
      <c r="B331" s="109"/>
      <c r="C331" s="51" t="s">
        <v>107</v>
      </c>
      <c r="D331" s="19">
        <v>63</v>
      </c>
      <c r="E331" s="19" t="s">
        <v>93</v>
      </c>
      <c r="F331" s="19">
        <v>70</v>
      </c>
      <c r="G331" s="19" t="s">
        <v>95</v>
      </c>
      <c r="H331" s="52" t="s">
        <v>98</v>
      </c>
    </row>
    <row r="332" spans="2:8" ht="18.75" x14ac:dyDescent="0.25">
      <c r="B332" s="109"/>
      <c r="C332" s="51" t="s">
        <v>107</v>
      </c>
      <c r="D332" s="19">
        <v>50</v>
      </c>
      <c r="E332" s="19" t="s">
        <v>94</v>
      </c>
      <c r="F332" s="19">
        <v>50</v>
      </c>
      <c r="G332" s="19" t="s">
        <v>95</v>
      </c>
      <c r="H332" s="52" t="s">
        <v>98</v>
      </c>
    </row>
    <row r="333" spans="2:8" ht="18.75" x14ac:dyDescent="0.25">
      <c r="B333" s="109"/>
      <c r="C333" s="51" t="s">
        <v>107</v>
      </c>
      <c r="D333" s="19">
        <v>50</v>
      </c>
      <c r="E333" s="19" t="s">
        <v>94</v>
      </c>
      <c r="F333" s="19">
        <v>160</v>
      </c>
      <c r="G333" s="19" t="s">
        <v>95</v>
      </c>
      <c r="H333" s="52" t="s">
        <v>98</v>
      </c>
    </row>
    <row r="334" spans="2:8" ht="18.75" x14ac:dyDescent="0.25">
      <c r="B334" s="109"/>
      <c r="C334" s="51" t="s">
        <v>107</v>
      </c>
      <c r="D334" s="19">
        <v>50</v>
      </c>
      <c r="E334" s="19" t="s">
        <v>94</v>
      </c>
      <c r="F334" s="19">
        <v>50</v>
      </c>
      <c r="G334" s="19" t="s">
        <v>95</v>
      </c>
      <c r="H334" s="52" t="s">
        <v>98</v>
      </c>
    </row>
    <row r="335" spans="2:8" ht="18.75" x14ac:dyDescent="0.25">
      <c r="B335" s="109"/>
      <c r="C335" s="51" t="s">
        <v>107</v>
      </c>
      <c r="D335" s="19">
        <v>63</v>
      </c>
      <c r="E335" s="19" t="s">
        <v>94</v>
      </c>
      <c r="F335" s="19">
        <v>70</v>
      </c>
      <c r="G335" s="19" t="s">
        <v>95</v>
      </c>
      <c r="H335" s="52" t="s">
        <v>98</v>
      </c>
    </row>
    <row r="336" spans="2:8" ht="18.75" x14ac:dyDescent="0.25">
      <c r="B336" s="109"/>
      <c r="C336" s="51" t="s">
        <v>107</v>
      </c>
      <c r="D336" s="19">
        <v>63</v>
      </c>
      <c r="E336" s="19" t="s">
        <v>93</v>
      </c>
      <c r="F336" s="19">
        <v>346</v>
      </c>
      <c r="G336" s="19" t="s">
        <v>95</v>
      </c>
      <c r="H336" s="52" t="s">
        <v>98</v>
      </c>
    </row>
    <row r="337" spans="2:8" ht="18.75" x14ac:dyDescent="0.25">
      <c r="B337" s="109"/>
      <c r="C337" s="51" t="s">
        <v>107</v>
      </c>
      <c r="D337" s="19">
        <v>63</v>
      </c>
      <c r="E337" s="19" t="s">
        <v>93</v>
      </c>
      <c r="F337" s="19">
        <v>238</v>
      </c>
      <c r="G337" s="19" t="s">
        <v>95</v>
      </c>
      <c r="H337" s="52" t="s">
        <v>98</v>
      </c>
    </row>
    <row r="338" spans="2:8" ht="18.75" x14ac:dyDescent="0.25">
      <c r="B338" s="109"/>
      <c r="C338" s="51" t="s">
        <v>107</v>
      </c>
      <c r="D338" s="19">
        <v>63</v>
      </c>
      <c r="E338" s="19" t="s">
        <v>93</v>
      </c>
      <c r="F338" s="19">
        <v>93.56</v>
      </c>
      <c r="G338" s="19" t="s">
        <v>95</v>
      </c>
      <c r="H338" s="52" t="s">
        <v>98</v>
      </c>
    </row>
    <row r="339" spans="2:8" ht="18.75" x14ac:dyDescent="0.25">
      <c r="B339" s="109"/>
      <c r="C339" s="51" t="s">
        <v>107</v>
      </c>
      <c r="D339" s="19">
        <v>63</v>
      </c>
      <c r="E339" s="19" t="s">
        <v>93</v>
      </c>
      <c r="F339" s="19">
        <v>49.46</v>
      </c>
      <c r="G339" s="19" t="s">
        <v>95</v>
      </c>
      <c r="H339" s="52" t="s">
        <v>98</v>
      </c>
    </row>
    <row r="340" spans="2:8" ht="18.75" x14ac:dyDescent="0.25">
      <c r="B340" s="109"/>
      <c r="C340" s="51" t="s">
        <v>107</v>
      </c>
      <c r="D340" s="19">
        <v>63</v>
      </c>
      <c r="E340" s="19" t="s">
        <v>93</v>
      </c>
      <c r="F340" s="19">
        <v>60</v>
      </c>
      <c r="G340" s="19" t="s">
        <v>95</v>
      </c>
      <c r="H340" s="52" t="s">
        <v>98</v>
      </c>
    </row>
    <row r="341" spans="2:8" ht="18.75" x14ac:dyDescent="0.25">
      <c r="B341" s="109"/>
      <c r="C341" s="51" t="s">
        <v>107</v>
      </c>
      <c r="D341" s="19">
        <v>63</v>
      </c>
      <c r="E341" s="19" t="s">
        <v>93</v>
      </c>
      <c r="F341" s="19">
        <v>844</v>
      </c>
      <c r="G341" s="19" t="s">
        <v>95</v>
      </c>
      <c r="H341" s="52" t="s">
        <v>98</v>
      </c>
    </row>
    <row r="342" spans="2:8" ht="18.75" x14ac:dyDescent="0.25">
      <c r="B342" s="109"/>
      <c r="C342" s="51" t="s">
        <v>107</v>
      </c>
      <c r="D342" s="19">
        <v>63</v>
      </c>
      <c r="E342" s="19" t="s">
        <v>93</v>
      </c>
      <c r="F342" s="19">
        <v>30</v>
      </c>
      <c r="G342" s="19" t="s">
        <v>95</v>
      </c>
      <c r="H342" s="52" t="s">
        <v>98</v>
      </c>
    </row>
    <row r="343" spans="2:8" ht="18.75" x14ac:dyDescent="0.25">
      <c r="B343" s="109"/>
      <c r="C343" s="51" t="s">
        <v>107</v>
      </c>
      <c r="D343" s="19">
        <v>63</v>
      </c>
      <c r="E343" s="19" t="s">
        <v>93</v>
      </c>
      <c r="F343" s="19">
        <v>73</v>
      </c>
      <c r="G343" s="19" t="s">
        <v>95</v>
      </c>
      <c r="H343" s="52" t="s">
        <v>98</v>
      </c>
    </row>
    <row r="344" spans="2:8" ht="18.75" x14ac:dyDescent="0.25">
      <c r="B344" s="109"/>
      <c r="C344" s="51" t="s">
        <v>107</v>
      </c>
      <c r="D344" s="19">
        <v>63</v>
      </c>
      <c r="E344" s="19" t="s">
        <v>93</v>
      </c>
      <c r="F344" s="19">
        <v>79</v>
      </c>
      <c r="G344" s="19" t="s">
        <v>95</v>
      </c>
      <c r="H344" s="52" t="s">
        <v>98</v>
      </c>
    </row>
    <row r="345" spans="2:8" ht="18.75" x14ac:dyDescent="0.25">
      <c r="B345" s="109"/>
      <c r="C345" s="51" t="s">
        <v>107</v>
      </c>
      <c r="D345" s="19">
        <v>63</v>
      </c>
      <c r="E345" s="19" t="s">
        <v>93</v>
      </c>
      <c r="F345" s="19">
        <v>524</v>
      </c>
      <c r="G345" s="19" t="s">
        <v>95</v>
      </c>
      <c r="H345" s="52" t="s">
        <v>98</v>
      </c>
    </row>
    <row r="346" spans="2:8" ht="18.75" x14ac:dyDescent="0.25">
      <c r="B346" s="109"/>
      <c r="C346" s="51" t="s">
        <v>107</v>
      </c>
      <c r="D346" s="19">
        <v>63</v>
      </c>
      <c r="E346" s="19" t="s">
        <v>93</v>
      </c>
      <c r="F346" s="19">
        <v>1200</v>
      </c>
      <c r="G346" s="19" t="s">
        <v>95</v>
      </c>
      <c r="H346" s="52" t="s">
        <v>98</v>
      </c>
    </row>
    <row r="347" spans="2:8" ht="18.75" x14ac:dyDescent="0.25">
      <c r="B347" s="109"/>
      <c r="C347" s="51" t="s">
        <v>107</v>
      </c>
      <c r="D347" s="19">
        <v>63</v>
      </c>
      <c r="E347" s="19" t="s">
        <v>93</v>
      </c>
      <c r="F347" s="19">
        <v>460</v>
      </c>
      <c r="G347" s="19" t="s">
        <v>95</v>
      </c>
      <c r="H347" s="52" t="s">
        <v>98</v>
      </c>
    </row>
    <row r="348" spans="2:8" ht="18.75" x14ac:dyDescent="0.25">
      <c r="B348" s="109"/>
      <c r="C348" s="51" t="s">
        <v>107</v>
      </c>
      <c r="D348" s="19"/>
      <c r="E348" s="19" t="s">
        <v>93</v>
      </c>
      <c r="F348" s="19">
        <v>90</v>
      </c>
      <c r="G348" s="19" t="s">
        <v>95</v>
      </c>
      <c r="H348" s="52" t="s">
        <v>98</v>
      </c>
    </row>
    <row r="349" spans="2:8" ht="18.75" x14ac:dyDescent="0.25">
      <c r="B349" s="109"/>
      <c r="C349" s="51" t="s">
        <v>107</v>
      </c>
      <c r="D349" s="19">
        <v>63</v>
      </c>
      <c r="E349" s="19" t="s">
        <v>93</v>
      </c>
      <c r="F349" s="19">
        <v>180</v>
      </c>
      <c r="G349" s="19" t="s">
        <v>95</v>
      </c>
      <c r="H349" s="52" t="s">
        <v>98</v>
      </c>
    </row>
    <row r="350" spans="2:8" ht="18.75" x14ac:dyDescent="0.25">
      <c r="B350" s="109"/>
      <c r="C350" s="51" t="s">
        <v>107</v>
      </c>
      <c r="D350" s="19">
        <v>63</v>
      </c>
      <c r="E350" s="19" t="s">
        <v>93</v>
      </c>
      <c r="F350" s="19">
        <v>60</v>
      </c>
      <c r="G350" s="19" t="s">
        <v>95</v>
      </c>
      <c r="H350" s="52" t="s">
        <v>98</v>
      </c>
    </row>
    <row r="351" spans="2:8" ht="18.75" x14ac:dyDescent="0.25">
      <c r="B351" s="109"/>
      <c r="C351" s="51" t="s">
        <v>107</v>
      </c>
      <c r="D351" s="19">
        <v>63</v>
      </c>
      <c r="E351" s="19" t="s">
        <v>93</v>
      </c>
      <c r="F351" s="19">
        <v>52.5</v>
      </c>
      <c r="G351" s="19" t="s">
        <v>95</v>
      </c>
      <c r="H351" s="52" t="s">
        <v>98</v>
      </c>
    </row>
    <row r="352" spans="2:8" ht="18.75" x14ac:dyDescent="0.25">
      <c r="B352" s="109"/>
      <c r="C352" s="51" t="s">
        <v>107</v>
      </c>
      <c r="D352" s="19">
        <v>63</v>
      </c>
      <c r="E352" s="19" t="s">
        <v>93</v>
      </c>
      <c r="F352" s="19">
        <v>337</v>
      </c>
      <c r="G352" s="19" t="s">
        <v>95</v>
      </c>
      <c r="H352" s="52" t="s">
        <v>98</v>
      </c>
    </row>
    <row r="353" spans="2:8" ht="18.75" x14ac:dyDescent="0.25">
      <c r="B353" s="109"/>
      <c r="C353" s="51" t="s">
        <v>107</v>
      </c>
      <c r="D353" s="19">
        <v>63</v>
      </c>
      <c r="E353" s="19" t="s">
        <v>93</v>
      </c>
      <c r="F353" s="19">
        <v>97.47</v>
      </c>
      <c r="G353" s="19" t="s">
        <v>95</v>
      </c>
      <c r="H353" s="52" t="s">
        <v>98</v>
      </c>
    </row>
    <row r="354" spans="2:8" ht="18.75" x14ac:dyDescent="0.25">
      <c r="B354" s="109"/>
      <c r="C354" s="51" t="s">
        <v>107</v>
      </c>
      <c r="D354" s="19">
        <v>63</v>
      </c>
      <c r="E354" s="19" t="s">
        <v>93</v>
      </c>
      <c r="F354" s="19">
        <v>50.09</v>
      </c>
      <c r="G354" s="19" t="s">
        <v>95</v>
      </c>
      <c r="H354" s="52" t="s">
        <v>98</v>
      </c>
    </row>
    <row r="355" spans="2:8" ht="18.75" x14ac:dyDescent="0.25">
      <c r="B355" s="109"/>
      <c r="C355" s="51" t="s">
        <v>107</v>
      </c>
      <c r="D355" s="19">
        <v>63</v>
      </c>
      <c r="E355" s="19" t="s">
        <v>93</v>
      </c>
      <c r="F355" s="19">
        <v>50</v>
      </c>
      <c r="G355" s="19" t="s">
        <v>95</v>
      </c>
      <c r="H355" s="52" t="s">
        <v>98</v>
      </c>
    </row>
    <row r="356" spans="2:8" ht="18.75" x14ac:dyDescent="0.25">
      <c r="B356" s="109"/>
      <c r="C356" s="51" t="s">
        <v>107</v>
      </c>
      <c r="D356" s="19">
        <v>63</v>
      </c>
      <c r="E356" s="19" t="s">
        <v>93</v>
      </c>
      <c r="F356" s="19">
        <v>150</v>
      </c>
      <c r="G356" s="19" t="s">
        <v>95</v>
      </c>
      <c r="H356" s="52" t="s">
        <v>98</v>
      </c>
    </row>
    <row r="357" spans="2:8" ht="18.75" x14ac:dyDescent="0.25">
      <c r="B357" s="109"/>
      <c r="C357" s="51" t="s">
        <v>107</v>
      </c>
      <c r="D357" s="19">
        <v>63</v>
      </c>
      <c r="E357" s="19" t="s">
        <v>93</v>
      </c>
      <c r="F357" s="19">
        <v>70</v>
      </c>
      <c r="G357" s="19" t="s">
        <v>95</v>
      </c>
      <c r="H357" s="52" t="s">
        <v>98</v>
      </c>
    </row>
    <row r="358" spans="2:8" ht="18.75" x14ac:dyDescent="0.25">
      <c r="B358" s="109"/>
      <c r="C358" s="51" t="s">
        <v>107</v>
      </c>
      <c r="D358" s="19">
        <v>63</v>
      </c>
      <c r="E358" s="19" t="s">
        <v>93</v>
      </c>
      <c r="F358" s="19">
        <v>26</v>
      </c>
      <c r="G358" s="19" t="s">
        <v>95</v>
      </c>
      <c r="H358" s="52" t="s">
        <v>98</v>
      </c>
    </row>
    <row r="359" spans="2:8" ht="18.75" x14ac:dyDescent="0.25">
      <c r="B359" s="109"/>
      <c r="C359" s="51" t="s">
        <v>107</v>
      </c>
      <c r="D359" s="19">
        <v>63</v>
      </c>
      <c r="E359" s="19" t="s">
        <v>93</v>
      </c>
      <c r="F359" s="19">
        <v>12</v>
      </c>
      <c r="G359" s="19" t="s">
        <v>95</v>
      </c>
      <c r="H359" s="52" t="s">
        <v>98</v>
      </c>
    </row>
    <row r="360" spans="2:8" ht="18.75" x14ac:dyDescent="0.25">
      <c r="B360" s="109"/>
      <c r="C360" s="51" t="s">
        <v>107</v>
      </c>
      <c r="D360" s="19">
        <v>63</v>
      </c>
      <c r="E360" s="19" t="s">
        <v>93</v>
      </c>
      <c r="F360" s="19">
        <v>62.5</v>
      </c>
      <c r="G360" s="19" t="s">
        <v>95</v>
      </c>
      <c r="H360" s="52" t="s">
        <v>98</v>
      </c>
    </row>
    <row r="361" spans="2:8" ht="18.75" x14ac:dyDescent="0.25">
      <c r="B361" s="109"/>
      <c r="C361" s="51" t="s">
        <v>107</v>
      </c>
      <c r="D361" s="19">
        <v>63</v>
      </c>
      <c r="E361" s="19" t="s">
        <v>93</v>
      </c>
      <c r="F361" s="19">
        <v>125.5</v>
      </c>
      <c r="G361" s="19" t="s">
        <v>95</v>
      </c>
      <c r="H361" s="52" t="s">
        <v>98</v>
      </c>
    </row>
    <row r="362" spans="2:8" ht="18.75" x14ac:dyDescent="0.25">
      <c r="B362" s="109"/>
      <c r="C362" s="51" t="s">
        <v>107</v>
      </c>
      <c r="D362" s="19">
        <v>63</v>
      </c>
      <c r="E362" s="19" t="s">
        <v>93</v>
      </c>
      <c r="F362" s="19">
        <v>116</v>
      </c>
      <c r="G362" s="19" t="s">
        <v>95</v>
      </c>
      <c r="H362" s="52" t="s">
        <v>98</v>
      </c>
    </row>
    <row r="363" spans="2:8" ht="18.75" x14ac:dyDescent="0.25">
      <c r="B363" s="109"/>
      <c r="C363" s="51" t="s">
        <v>107</v>
      </c>
      <c r="D363" s="19">
        <v>63</v>
      </c>
      <c r="E363" s="19" t="s">
        <v>93</v>
      </c>
      <c r="F363" s="19">
        <v>80</v>
      </c>
      <c r="G363" s="19" t="s">
        <v>95</v>
      </c>
      <c r="H363" s="52" t="s">
        <v>98</v>
      </c>
    </row>
    <row r="364" spans="2:8" ht="18.75" x14ac:dyDescent="0.25">
      <c r="B364" s="109"/>
      <c r="C364" s="51" t="s">
        <v>107</v>
      </c>
      <c r="D364" s="19">
        <v>63</v>
      </c>
      <c r="E364" s="19" t="s">
        <v>93</v>
      </c>
      <c r="F364" s="19">
        <v>30</v>
      </c>
      <c r="G364" s="19" t="s">
        <v>95</v>
      </c>
      <c r="H364" s="52" t="s">
        <v>98</v>
      </c>
    </row>
    <row r="365" spans="2:8" ht="18.75" x14ac:dyDescent="0.25">
      <c r="B365" s="109"/>
      <c r="C365" s="51" t="s">
        <v>107</v>
      </c>
      <c r="D365" s="19">
        <v>63</v>
      </c>
      <c r="E365" s="19" t="s">
        <v>93</v>
      </c>
      <c r="F365" s="19">
        <v>28</v>
      </c>
      <c r="G365" s="19" t="s">
        <v>95</v>
      </c>
      <c r="H365" s="52" t="s">
        <v>98</v>
      </c>
    </row>
    <row r="366" spans="2:8" ht="18.75" x14ac:dyDescent="0.25">
      <c r="B366" s="109"/>
      <c r="C366" s="51" t="s">
        <v>107</v>
      </c>
      <c r="D366" s="19">
        <v>63</v>
      </c>
      <c r="E366" s="19" t="s">
        <v>93</v>
      </c>
      <c r="F366" s="19">
        <v>66</v>
      </c>
      <c r="G366" s="19" t="s">
        <v>95</v>
      </c>
      <c r="H366" s="52" t="s">
        <v>98</v>
      </c>
    </row>
    <row r="367" spans="2:8" ht="18.75" x14ac:dyDescent="0.25">
      <c r="B367" s="109"/>
      <c r="C367" s="51" t="s">
        <v>107</v>
      </c>
      <c r="D367" s="19">
        <v>63</v>
      </c>
      <c r="E367" s="19" t="s">
        <v>93</v>
      </c>
      <c r="F367" s="19">
        <v>125</v>
      </c>
      <c r="G367" s="19" t="s">
        <v>95</v>
      </c>
      <c r="H367" s="52" t="s">
        <v>98</v>
      </c>
    </row>
    <row r="368" spans="2:8" ht="18.75" x14ac:dyDescent="0.25">
      <c r="B368" s="109"/>
      <c r="C368" s="51" t="s">
        <v>107</v>
      </c>
      <c r="D368" s="19">
        <v>63</v>
      </c>
      <c r="E368" s="19" t="s">
        <v>93</v>
      </c>
      <c r="F368" s="19">
        <v>103.5</v>
      </c>
      <c r="G368" s="19" t="s">
        <v>95</v>
      </c>
      <c r="H368" s="52" t="s">
        <v>98</v>
      </c>
    </row>
    <row r="369" spans="2:8" ht="18.75" x14ac:dyDescent="0.25">
      <c r="B369" s="109"/>
      <c r="C369" s="51" t="s">
        <v>107</v>
      </c>
      <c r="D369" s="19">
        <v>63</v>
      </c>
      <c r="E369" s="19" t="s">
        <v>93</v>
      </c>
      <c r="F369" s="19">
        <v>73</v>
      </c>
      <c r="G369" s="19" t="s">
        <v>95</v>
      </c>
      <c r="H369" s="52" t="s">
        <v>98</v>
      </c>
    </row>
    <row r="370" spans="2:8" ht="18.75" x14ac:dyDescent="0.25">
      <c r="B370" s="109"/>
      <c r="C370" s="51" t="s">
        <v>107</v>
      </c>
      <c r="D370" s="19">
        <v>63</v>
      </c>
      <c r="E370" s="19" t="s">
        <v>93</v>
      </c>
      <c r="F370" s="19">
        <v>48</v>
      </c>
      <c r="G370" s="19" t="s">
        <v>95</v>
      </c>
      <c r="H370" s="52" t="s">
        <v>98</v>
      </c>
    </row>
    <row r="371" spans="2:8" ht="18.75" x14ac:dyDescent="0.25">
      <c r="B371" s="109"/>
      <c r="C371" s="51" t="s">
        <v>107</v>
      </c>
      <c r="D371" s="19">
        <v>63</v>
      </c>
      <c r="E371" s="19" t="s">
        <v>93</v>
      </c>
      <c r="F371" s="19">
        <v>79</v>
      </c>
      <c r="G371" s="19" t="s">
        <v>95</v>
      </c>
      <c r="H371" s="52" t="s">
        <v>98</v>
      </c>
    </row>
    <row r="372" spans="2:8" ht="18.75" x14ac:dyDescent="0.25">
      <c r="B372" s="109"/>
      <c r="C372" s="51" t="s">
        <v>107</v>
      </c>
      <c r="D372" s="19">
        <v>63</v>
      </c>
      <c r="E372" s="19" t="s">
        <v>93</v>
      </c>
      <c r="F372" s="19">
        <v>70</v>
      </c>
      <c r="G372" s="19" t="s">
        <v>95</v>
      </c>
      <c r="H372" s="52" t="s">
        <v>98</v>
      </c>
    </row>
    <row r="373" spans="2:8" ht="18.75" x14ac:dyDescent="0.25">
      <c r="B373" s="109"/>
      <c r="C373" s="51" t="s">
        <v>107</v>
      </c>
      <c r="D373" s="19">
        <v>63</v>
      </c>
      <c r="E373" s="19" t="s">
        <v>93</v>
      </c>
      <c r="F373" s="19">
        <v>23</v>
      </c>
      <c r="G373" s="19" t="s">
        <v>95</v>
      </c>
      <c r="H373" s="52" t="s">
        <v>98</v>
      </c>
    </row>
    <row r="374" spans="2:8" ht="18.75" x14ac:dyDescent="0.25">
      <c r="B374" s="109"/>
      <c r="C374" s="51" t="s">
        <v>107</v>
      </c>
      <c r="D374" s="19">
        <v>63</v>
      </c>
      <c r="E374" s="19" t="s">
        <v>93</v>
      </c>
      <c r="F374" s="19">
        <v>48</v>
      </c>
      <c r="G374" s="19" t="s">
        <v>95</v>
      </c>
      <c r="H374" s="52" t="s">
        <v>98</v>
      </c>
    </row>
    <row r="375" spans="2:8" ht="18.75" x14ac:dyDescent="0.25">
      <c r="B375" s="109"/>
      <c r="C375" s="51" t="s">
        <v>107</v>
      </c>
      <c r="D375" s="19">
        <v>63</v>
      </c>
      <c r="E375" s="19" t="s">
        <v>93</v>
      </c>
      <c r="F375" s="19">
        <v>18</v>
      </c>
      <c r="G375" s="19" t="s">
        <v>95</v>
      </c>
      <c r="H375" s="52" t="s">
        <v>98</v>
      </c>
    </row>
    <row r="376" spans="2:8" ht="18.75" x14ac:dyDescent="0.25">
      <c r="B376" s="109"/>
      <c r="C376" s="51" t="s">
        <v>107</v>
      </c>
      <c r="D376" s="19">
        <v>63</v>
      </c>
      <c r="E376" s="19" t="s">
        <v>93</v>
      </c>
      <c r="F376" s="19">
        <v>68</v>
      </c>
      <c r="G376" s="19" t="s">
        <v>95</v>
      </c>
      <c r="H376" s="52" t="s">
        <v>98</v>
      </c>
    </row>
    <row r="377" spans="2:8" ht="18.75" x14ac:dyDescent="0.25">
      <c r="B377" s="109"/>
      <c r="C377" s="51" t="s">
        <v>107</v>
      </c>
      <c r="D377" s="19">
        <v>63</v>
      </c>
      <c r="E377" s="19" t="s">
        <v>93</v>
      </c>
      <c r="F377" s="19">
        <v>24</v>
      </c>
      <c r="G377" s="19" t="s">
        <v>95</v>
      </c>
      <c r="H377" s="52" t="s">
        <v>98</v>
      </c>
    </row>
    <row r="378" spans="2:8" ht="18.75" x14ac:dyDescent="0.25">
      <c r="B378" s="109"/>
      <c r="C378" s="51" t="s">
        <v>107</v>
      </c>
      <c r="D378" s="19">
        <v>63</v>
      </c>
      <c r="E378" s="19" t="s">
        <v>93</v>
      </c>
      <c r="F378" s="19">
        <v>72</v>
      </c>
      <c r="G378" s="19" t="s">
        <v>95</v>
      </c>
      <c r="H378" s="52" t="s">
        <v>98</v>
      </c>
    </row>
    <row r="379" spans="2:8" ht="18.75" x14ac:dyDescent="0.25">
      <c r="B379" s="109"/>
      <c r="C379" s="51" t="s">
        <v>107</v>
      </c>
      <c r="D379" s="19">
        <v>63</v>
      </c>
      <c r="E379" s="19" t="s">
        <v>93</v>
      </c>
      <c r="F379" s="19">
        <v>39</v>
      </c>
      <c r="G379" s="19" t="s">
        <v>95</v>
      </c>
      <c r="H379" s="52" t="s">
        <v>98</v>
      </c>
    </row>
    <row r="380" spans="2:8" ht="18.75" x14ac:dyDescent="0.25">
      <c r="B380" s="109"/>
      <c r="C380" s="51" t="s">
        <v>107</v>
      </c>
      <c r="D380" s="19">
        <v>63</v>
      </c>
      <c r="E380" s="19" t="s">
        <v>93</v>
      </c>
      <c r="F380" s="19">
        <v>51</v>
      </c>
      <c r="G380" s="19" t="s">
        <v>95</v>
      </c>
      <c r="H380" s="52" t="s">
        <v>98</v>
      </c>
    </row>
    <row r="381" spans="2:8" ht="18.75" x14ac:dyDescent="0.25">
      <c r="B381" s="109"/>
      <c r="C381" s="51" t="s">
        <v>107</v>
      </c>
      <c r="D381" s="19">
        <v>63</v>
      </c>
      <c r="E381" s="19" t="s">
        <v>93</v>
      </c>
      <c r="F381" s="19">
        <v>73.239999999999995</v>
      </c>
      <c r="G381" s="19" t="s">
        <v>95</v>
      </c>
      <c r="H381" s="52" t="s">
        <v>98</v>
      </c>
    </row>
    <row r="382" spans="2:8" ht="18.75" x14ac:dyDescent="0.25">
      <c r="B382" s="109"/>
      <c r="C382" s="51" t="s">
        <v>107</v>
      </c>
      <c r="D382" s="19">
        <v>63</v>
      </c>
      <c r="E382" s="19" t="s">
        <v>93</v>
      </c>
      <c r="F382" s="19">
        <v>32.86</v>
      </c>
      <c r="G382" s="19" t="s">
        <v>95</v>
      </c>
      <c r="H382" s="52" t="s">
        <v>98</v>
      </c>
    </row>
    <row r="383" spans="2:8" ht="18.75" x14ac:dyDescent="0.25">
      <c r="B383" s="109"/>
      <c r="C383" s="51" t="s">
        <v>107</v>
      </c>
      <c r="D383" s="19">
        <v>63</v>
      </c>
      <c r="E383" s="19" t="s">
        <v>93</v>
      </c>
      <c r="F383" s="19">
        <v>38</v>
      </c>
      <c r="G383" s="19" t="s">
        <v>95</v>
      </c>
      <c r="H383" s="52" t="s">
        <v>98</v>
      </c>
    </row>
    <row r="384" spans="2:8" ht="18.75" x14ac:dyDescent="0.25">
      <c r="B384" s="109"/>
      <c r="C384" s="51" t="s">
        <v>107</v>
      </c>
      <c r="D384" s="19">
        <v>63</v>
      </c>
      <c r="E384" s="19" t="s">
        <v>93</v>
      </c>
      <c r="F384" s="19">
        <v>30</v>
      </c>
      <c r="G384" s="19" t="s">
        <v>95</v>
      </c>
      <c r="H384" s="52" t="s">
        <v>98</v>
      </c>
    </row>
    <row r="385" spans="2:8" ht="18.75" x14ac:dyDescent="0.25">
      <c r="B385" s="109"/>
      <c r="C385" s="51" t="s">
        <v>107</v>
      </c>
      <c r="D385" s="19">
        <v>63</v>
      </c>
      <c r="E385" s="19" t="s">
        <v>93</v>
      </c>
      <c r="F385" s="19">
        <v>58</v>
      </c>
      <c r="G385" s="19" t="s">
        <v>95</v>
      </c>
      <c r="H385" s="52" t="s">
        <v>98</v>
      </c>
    </row>
    <row r="386" spans="2:8" ht="18.75" x14ac:dyDescent="0.25">
      <c r="B386" s="109"/>
      <c r="C386" s="51" t="s">
        <v>107</v>
      </c>
      <c r="D386" s="19">
        <v>63</v>
      </c>
      <c r="E386" s="19" t="s">
        <v>93</v>
      </c>
      <c r="F386" s="19">
        <v>60</v>
      </c>
      <c r="G386" s="19" t="s">
        <v>95</v>
      </c>
      <c r="H386" s="52" t="s">
        <v>98</v>
      </c>
    </row>
    <row r="387" spans="2:8" ht="18.75" x14ac:dyDescent="0.25">
      <c r="B387" s="109"/>
      <c r="C387" s="51" t="s">
        <v>107</v>
      </c>
      <c r="D387" s="19">
        <v>63</v>
      </c>
      <c r="E387" s="19" t="s">
        <v>93</v>
      </c>
      <c r="F387" s="19">
        <v>77</v>
      </c>
      <c r="G387" s="19" t="s">
        <v>95</v>
      </c>
      <c r="H387" s="52" t="s">
        <v>98</v>
      </c>
    </row>
    <row r="388" spans="2:8" ht="18.75" x14ac:dyDescent="0.25">
      <c r="B388" s="109"/>
      <c r="C388" s="51" t="s">
        <v>107</v>
      </c>
      <c r="D388" s="19">
        <v>63</v>
      </c>
      <c r="E388" s="19" t="s">
        <v>93</v>
      </c>
      <c r="F388" s="19">
        <v>60</v>
      </c>
      <c r="G388" s="19" t="s">
        <v>95</v>
      </c>
      <c r="H388" s="52" t="s">
        <v>98</v>
      </c>
    </row>
    <row r="389" spans="2:8" ht="18.75" x14ac:dyDescent="0.25">
      <c r="B389" s="109"/>
      <c r="C389" s="51" t="s">
        <v>107</v>
      </c>
      <c r="D389" s="19">
        <v>63</v>
      </c>
      <c r="E389" s="19" t="s">
        <v>93</v>
      </c>
      <c r="F389" s="19">
        <v>80</v>
      </c>
      <c r="G389" s="19" t="s">
        <v>95</v>
      </c>
      <c r="H389" s="52" t="s">
        <v>98</v>
      </c>
    </row>
    <row r="390" spans="2:8" ht="18.75" x14ac:dyDescent="0.25">
      <c r="B390" s="109"/>
      <c r="C390" s="51" t="s">
        <v>107</v>
      </c>
      <c r="D390" s="19">
        <v>63</v>
      </c>
      <c r="E390" s="19" t="s">
        <v>93</v>
      </c>
      <c r="F390" s="19">
        <v>500</v>
      </c>
      <c r="G390" s="19" t="s">
        <v>95</v>
      </c>
      <c r="H390" s="52" t="s">
        <v>98</v>
      </c>
    </row>
    <row r="391" spans="2:8" ht="18.75" x14ac:dyDescent="0.25">
      <c r="B391" s="109"/>
      <c r="C391" s="51" t="s">
        <v>107</v>
      </c>
      <c r="D391" s="19">
        <v>63</v>
      </c>
      <c r="E391" s="19" t="s">
        <v>93</v>
      </c>
      <c r="F391" s="19">
        <v>600</v>
      </c>
      <c r="G391" s="19" t="s">
        <v>95</v>
      </c>
      <c r="H391" s="52" t="s">
        <v>98</v>
      </c>
    </row>
    <row r="392" spans="2:8" ht="18.75" x14ac:dyDescent="0.25">
      <c r="B392" s="109"/>
      <c r="C392" s="51" t="s">
        <v>107</v>
      </c>
      <c r="D392" s="19">
        <v>63</v>
      </c>
      <c r="E392" s="19" t="s">
        <v>93</v>
      </c>
      <c r="F392" s="19">
        <v>68</v>
      </c>
      <c r="G392" s="19" t="s">
        <v>95</v>
      </c>
      <c r="H392" s="52" t="s">
        <v>98</v>
      </c>
    </row>
    <row r="393" spans="2:8" ht="18.75" x14ac:dyDescent="0.25">
      <c r="B393" s="109"/>
      <c r="C393" s="51" t="s">
        <v>107</v>
      </c>
      <c r="D393" s="19">
        <v>63</v>
      </c>
      <c r="E393" s="19" t="s">
        <v>93</v>
      </c>
      <c r="F393" s="19">
        <v>54.05</v>
      </c>
      <c r="G393" s="19" t="s">
        <v>95</v>
      </c>
      <c r="H393" s="52" t="s">
        <v>98</v>
      </c>
    </row>
    <row r="394" spans="2:8" ht="18.75" x14ac:dyDescent="0.25">
      <c r="B394" s="109"/>
      <c r="C394" s="51" t="s">
        <v>107</v>
      </c>
      <c r="D394" s="19">
        <v>63</v>
      </c>
      <c r="E394" s="19" t="s">
        <v>93</v>
      </c>
      <c r="F394" s="19">
        <v>54.55</v>
      </c>
      <c r="G394" s="19" t="s">
        <v>95</v>
      </c>
      <c r="H394" s="52" t="s">
        <v>98</v>
      </c>
    </row>
    <row r="395" spans="2:8" ht="18.75" x14ac:dyDescent="0.25">
      <c r="B395" s="109"/>
      <c r="C395" s="51" t="s">
        <v>107</v>
      </c>
      <c r="D395" s="19">
        <v>63</v>
      </c>
      <c r="E395" s="19" t="s">
        <v>93</v>
      </c>
      <c r="F395" s="19">
        <v>91</v>
      </c>
      <c r="G395" s="19" t="s">
        <v>95</v>
      </c>
      <c r="H395" s="52" t="s">
        <v>98</v>
      </c>
    </row>
    <row r="396" spans="2:8" ht="18.75" x14ac:dyDescent="0.25">
      <c r="B396" s="109"/>
      <c r="C396" s="51" t="s">
        <v>107</v>
      </c>
      <c r="D396" s="19">
        <v>63</v>
      </c>
      <c r="E396" s="19" t="s">
        <v>93</v>
      </c>
      <c r="F396" s="19">
        <v>49</v>
      </c>
      <c r="G396" s="19" t="s">
        <v>95</v>
      </c>
      <c r="H396" s="52" t="s">
        <v>98</v>
      </c>
    </row>
    <row r="397" spans="2:8" ht="18.75" x14ac:dyDescent="0.25">
      <c r="B397" s="109"/>
      <c r="C397" s="51" t="s">
        <v>107</v>
      </c>
      <c r="D397" s="19">
        <v>63</v>
      </c>
      <c r="E397" s="19" t="s">
        <v>93</v>
      </c>
      <c r="F397" s="19">
        <v>46</v>
      </c>
      <c r="G397" s="19" t="s">
        <v>95</v>
      </c>
      <c r="H397" s="52" t="s">
        <v>98</v>
      </c>
    </row>
    <row r="398" spans="2:8" ht="18.75" x14ac:dyDescent="0.25">
      <c r="B398" s="109"/>
      <c r="C398" s="51" t="s">
        <v>107</v>
      </c>
      <c r="D398" s="19">
        <v>63</v>
      </c>
      <c r="E398" s="19" t="s">
        <v>93</v>
      </c>
      <c r="F398" s="19">
        <v>61</v>
      </c>
      <c r="G398" s="19" t="s">
        <v>95</v>
      </c>
      <c r="H398" s="52" t="s">
        <v>98</v>
      </c>
    </row>
    <row r="399" spans="2:8" ht="18.75" x14ac:dyDescent="0.25">
      <c r="B399" s="109"/>
      <c r="C399" s="51" t="s">
        <v>107</v>
      </c>
      <c r="D399" s="19">
        <v>63</v>
      </c>
      <c r="E399" s="19" t="s">
        <v>93</v>
      </c>
      <c r="F399" s="19">
        <v>35.700000000000003</v>
      </c>
      <c r="G399" s="19" t="s">
        <v>95</v>
      </c>
      <c r="H399" s="52" t="s">
        <v>98</v>
      </c>
    </row>
    <row r="400" spans="2:8" ht="18.75" x14ac:dyDescent="0.25">
      <c r="B400" s="109"/>
      <c r="C400" s="51" t="s">
        <v>107</v>
      </c>
      <c r="D400" s="19">
        <v>63</v>
      </c>
      <c r="E400" s="19" t="s">
        <v>93</v>
      </c>
      <c r="F400" s="19">
        <v>56</v>
      </c>
      <c r="G400" s="19" t="s">
        <v>95</v>
      </c>
      <c r="H400" s="52" t="s">
        <v>98</v>
      </c>
    </row>
    <row r="401" spans="2:8" ht="18.75" x14ac:dyDescent="0.25">
      <c r="B401" s="109"/>
      <c r="C401" s="51" t="s">
        <v>107</v>
      </c>
      <c r="D401" s="19">
        <v>63</v>
      </c>
      <c r="E401" s="19" t="s">
        <v>93</v>
      </c>
      <c r="F401" s="19">
        <v>76.900000000000006</v>
      </c>
      <c r="G401" s="19" t="s">
        <v>95</v>
      </c>
      <c r="H401" s="52" t="s">
        <v>98</v>
      </c>
    </row>
    <row r="402" spans="2:8" ht="18.75" x14ac:dyDescent="0.25">
      <c r="B402" s="109"/>
      <c r="C402" s="51" t="s">
        <v>107</v>
      </c>
      <c r="D402" s="19">
        <v>63</v>
      </c>
      <c r="E402" s="19" t="s">
        <v>93</v>
      </c>
      <c r="F402" s="19">
        <v>72.7</v>
      </c>
      <c r="G402" s="19" t="s">
        <v>95</v>
      </c>
      <c r="H402" s="52" t="s">
        <v>98</v>
      </c>
    </row>
    <row r="403" spans="2:8" ht="18.75" x14ac:dyDescent="0.25">
      <c r="B403" s="109"/>
      <c r="C403" s="51" t="s">
        <v>107</v>
      </c>
      <c r="D403" s="19">
        <v>63</v>
      </c>
      <c r="E403" s="19" t="s">
        <v>93</v>
      </c>
      <c r="F403" s="19">
        <v>24.7</v>
      </c>
      <c r="G403" s="19" t="s">
        <v>95</v>
      </c>
      <c r="H403" s="52" t="s">
        <v>98</v>
      </c>
    </row>
    <row r="404" spans="2:8" ht="18.75" x14ac:dyDescent="0.25">
      <c r="B404" s="109"/>
      <c r="C404" s="51" t="s">
        <v>107</v>
      </c>
      <c r="D404" s="19">
        <v>63</v>
      </c>
      <c r="E404" s="19" t="s">
        <v>93</v>
      </c>
      <c r="F404" s="19">
        <v>32.54</v>
      </c>
      <c r="G404" s="19" t="s">
        <v>95</v>
      </c>
      <c r="H404" s="52" t="s">
        <v>98</v>
      </c>
    </row>
    <row r="405" spans="2:8" ht="18.75" x14ac:dyDescent="0.25">
      <c r="B405" s="109"/>
      <c r="C405" s="51" t="s">
        <v>107</v>
      </c>
      <c r="D405" s="19">
        <v>63</v>
      </c>
      <c r="E405" s="19" t="s">
        <v>93</v>
      </c>
      <c r="F405" s="19">
        <v>42</v>
      </c>
      <c r="G405" s="19" t="s">
        <v>95</v>
      </c>
      <c r="H405" s="52" t="s">
        <v>98</v>
      </c>
    </row>
    <row r="406" spans="2:8" ht="18.75" x14ac:dyDescent="0.25">
      <c r="B406" s="109"/>
      <c r="C406" s="51" t="s">
        <v>107</v>
      </c>
      <c r="D406" s="19">
        <v>63</v>
      </c>
      <c r="E406" s="19" t="s">
        <v>93</v>
      </c>
      <c r="F406" s="19">
        <v>66</v>
      </c>
      <c r="G406" s="19" t="s">
        <v>95</v>
      </c>
      <c r="H406" s="52" t="s">
        <v>98</v>
      </c>
    </row>
    <row r="407" spans="2:8" ht="18.75" x14ac:dyDescent="0.25">
      <c r="B407" s="109"/>
      <c r="C407" s="51" t="s">
        <v>107</v>
      </c>
      <c r="D407" s="19">
        <v>63</v>
      </c>
      <c r="E407" s="19" t="s">
        <v>93</v>
      </c>
      <c r="F407" s="19">
        <v>115</v>
      </c>
      <c r="G407" s="19" t="s">
        <v>95</v>
      </c>
      <c r="H407" s="52" t="s">
        <v>98</v>
      </c>
    </row>
    <row r="408" spans="2:8" ht="18.75" x14ac:dyDescent="0.25">
      <c r="B408" s="109"/>
      <c r="C408" s="51" t="s">
        <v>107</v>
      </c>
      <c r="D408" s="19">
        <v>63</v>
      </c>
      <c r="E408" s="19" t="s">
        <v>93</v>
      </c>
      <c r="F408" s="19">
        <v>17</v>
      </c>
      <c r="G408" s="19" t="s">
        <v>95</v>
      </c>
      <c r="H408" s="52" t="s">
        <v>98</v>
      </c>
    </row>
    <row r="409" spans="2:8" ht="18.75" x14ac:dyDescent="0.25">
      <c r="B409" s="109"/>
      <c r="C409" s="51" t="s">
        <v>107</v>
      </c>
      <c r="D409" s="19">
        <v>75</v>
      </c>
      <c r="E409" s="19" t="s">
        <v>93</v>
      </c>
      <c r="F409" s="19">
        <v>156</v>
      </c>
      <c r="G409" s="19" t="s">
        <v>95</v>
      </c>
      <c r="H409" s="52" t="s">
        <v>98</v>
      </c>
    </row>
    <row r="410" spans="2:8" ht="18.75" x14ac:dyDescent="0.25">
      <c r="B410" s="109"/>
      <c r="C410" s="51" t="s">
        <v>107</v>
      </c>
      <c r="D410" s="19">
        <v>75</v>
      </c>
      <c r="E410" s="19" t="s">
        <v>93</v>
      </c>
      <c r="F410" s="19">
        <v>35.799999999999997</v>
      </c>
      <c r="G410" s="19" t="s">
        <v>95</v>
      </c>
      <c r="H410" s="52" t="s">
        <v>98</v>
      </c>
    </row>
    <row r="411" spans="2:8" ht="18.75" x14ac:dyDescent="0.25">
      <c r="B411" s="109"/>
      <c r="C411" s="51" t="s">
        <v>107</v>
      </c>
      <c r="D411" s="19">
        <v>75</v>
      </c>
      <c r="E411" s="19" t="s">
        <v>93</v>
      </c>
      <c r="F411" s="19">
        <v>45.5</v>
      </c>
      <c r="G411" s="19" t="s">
        <v>95</v>
      </c>
      <c r="H411" s="52" t="s">
        <v>98</v>
      </c>
    </row>
    <row r="412" spans="2:8" ht="18.75" x14ac:dyDescent="0.25">
      <c r="B412" s="109"/>
      <c r="C412" s="51" t="s">
        <v>107</v>
      </c>
      <c r="D412" s="19">
        <v>75</v>
      </c>
      <c r="E412" s="19" t="s">
        <v>93</v>
      </c>
      <c r="F412" s="19">
        <v>48</v>
      </c>
      <c r="G412" s="19" t="s">
        <v>95</v>
      </c>
      <c r="H412" s="52" t="s">
        <v>98</v>
      </c>
    </row>
    <row r="413" spans="2:8" ht="18.75" x14ac:dyDescent="0.25">
      <c r="B413" s="109"/>
      <c r="C413" s="51" t="s">
        <v>107</v>
      </c>
      <c r="D413" s="19">
        <v>75</v>
      </c>
      <c r="E413" s="19" t="s">
        <v>93</v>
      </c>
      <c r="F413" s="19">
        <v>140</v>
      </c>
      <c r="G413" s="19" t="s">
        <v>95</v>
      </c>
      <c r="H413" s="52" t="s">
        <v>98</v>
      </c>
    </row>
    <row r="414" spans="2:8" ht="18.75" x14ac:dyDescent="0.25">
      <c r="B414" s="109"/>
      <c r="C414" s="51" t="s">
        <v>107</v>
      </c>
      <c r="D414" s="19">
        <v>75</v>
      </c>
      <c r="E414" s="19" t="s">
        <v>93</v>
      </c>
      <c r="F414" s="19">
        <v>76</v>
      </c>
      <c r="G414" s="19" t="s">
        <v>95</v>
      </c>
      <c r="H414" s="52" t="s">
        <v>98</v>
      </c>
    </row>
    <row r="415" spans="2:8" ht="18.75" x14ac:dyDescent="0.25">
      <c r="B415" s="109"/>
      <c r="C415" s="51" t="s">
        <v>107</v>
      </c>
      <c r="D415" s="19">
        <v>75</v>
      </c>
      <c r="E415" s="19" t="s">
        <v>93</v>
      </c>
      <c r="F415" s="19">
        <v>75</v>
      </c>
      <c r="G415" s="19" t="s">
        <v>95</v>
      </c>
      <c r="H415" s="52" t="s">
        <v>98</v>
      </c>
    </row>
    <row r="416" spans="2:8" ht="18.75" x14ac:dyDescent="0.25">
      <c r="B416" s="109"/>
      <c r="C416" s="51" t="s">
        <v>107</v>
      </c>
      <c r="D416" s="19">
        <v>75</v>
      </c>
      <c r="E416" s="19" t="s">
        <v>93</v>
      </c>
      <c r="F416" s="19">
        <v>131.26</v>
      </c>
      <c r="G416" s="19" t="s">
        <v>95</v>
      </c>
      <c r="H416" s="52" t="s">
        <v>98</v>
      </c>
    </row>
    <row r="417" spans="2:8" ht="18.75" x14ac:dyDescent="0.25">
      <c r="B417" s="109"/>
      <c r="C417" s="51" t="s">
        <v>107</v>
      </c>
      <c r="D417" s="19">
        <v>75</v>
      </c>
      <c r="E417" s="19" t="s">
        <v>93</v>
      </c>
      <c r="F417" s="19">
        <v>94.49</v>
      </c>
      <c r="G417" s="19" t="s">
        <v>95</v>
      </c>
      <c r="H417" s="52" t="s">
        <v>98</v>
      </c>
    </row>
    <row r="418" spans="2:8" ht="18.75" x14ac:dyDescent="0.25">
      <c r="B418" s="109"/>
      <c r="C418" s="51" t="s">
        <v>107</v>
      </c>
      <c r="D418" s="19">
        <v>75</v>
      </c>
      <c r="E418" s="19" t="s">
        <v>93</v>
      </c>
      <c r="F418" s="19">
        <v>70.28</v>
      </c>
      <c r="G418" s="19" t="s">
        <v>95</v>
      </c>
      <c r="H418" s="52" t="s">
        <v>98</v>
      </c>
    </row>
    <row r="419" spans="2:8" ht="18.75" x14ac:dyDescent="0.25">
      <c r="B419" s="109"/>
      <c r="C419" s="51" t="s">
        <v>107</v>
      </c>
      <c r="D419" s="19">
        <v>75</v>
      </c>
      <c r="E419" s="19" t="s">
        <v>93</v>
      </c>
      <c r="F419" s="19">
        <v>68.290000000000006</v>
      </c>
      <c r="G419" s="19" t="s">
        <v>95</v>
      </c>
      <c r="H419" s="52" t="s">
        <v>98</v>
      </c>
    </row>
    <row r="420" spans="2:8" ht="18.75" x14ac:dyDescent="0.25">
      <c r="B420" s="109"/>
      <c r="C420" s="51" t="s">
        <v>107</v>
      </c>
      <c r="D420" s="19">
        <v>75</v>
      </c>
      <c r="E420" s="19" t="s">
        <v>93</v>
      </c>
      <c r="F420" s="19">
        <v>28</v>
      </c>
      <c r="G420" s="19" t="s">
        <v>95</v>
      </c>
      <c r="H420" s="52" t="s">
        <v>98</v>
      </c>
    </row>
    <row r="421" spans="2:8" ht="18.75" x14ac:dyDescent="0.25">
      <c r="B421" s="109"/>
      <c r="C421" s="51" t="s">
        <v>107</v>
      </c>
      <c r="D421" s="19">
        <v>75</v>
      </c>
      <c r="E421" s="19" t="s">
        <v>93</v>
      </c>
      <c r="F421" s="19">
        <v>38</v>
      </c>
      <c r="G421" s="19" t="s">
        <v>95</v>
      </c>
      <c r="H421" s="52" t="s">
        <v>98</v>
      </c>
    </row>
    <row r="422" spans="2:8" ht="18.75" x14ac:dyDescent="0.25">
      <c r="B422" s="109"/>
      <c r="C422" s="51" t="s">
        <v>107</v>
      </c>
      <c r="D422" s="19">
        <v>75</v>
      </c>
      <c r="E422" s="19" t="s">
        <v>93</v>
      </c>
      <c r="F422" s="19">
        <v>204.5</v>
      </c>
      <c r="G422" s="19" t="s">
        <v>95</v>
      </c>
      <c r="H422" s="52" t="s">
        <v>98</v>
      </c>
    </row>
    <row r="423" spans="2:8" ht="18.75" x14ac:dyDescent="0.25">
      <c r="B423" s="109"/>
      <c r="C423" s="51" t="s">
        <v>107</v>
      </c>
      <c r="D423" s="19">
        <v>75</v>
      </c>
      <c r="E423" s="19" t="s">
        <v>93</v>
      </c>
      <c r="F423" s="19">
        <v>67.25</v>
      </c>
      <c r="G423" s="19" t="s">
        <v>95</v>
      </c>
      <c r="H423" s="52" t="s">
        <v>98</v>
      </c>
    </row>
    <row r="424" spans="2:8" ht="18.75" x14ac:dyDescent="0.25">
      <c r="B424" s="109"/>
      <c r="C424" s="51" t="s">
        <v>107</v>
      </c>
      <c r="D424" s="19">
        <v>75</v>
      </c>
      <c r="E424" s="19" t="s">
        <v>93</v>
      </c>
      <c r="F424" s="19">
        <v>47.58</v>
      </c>
      <c r="G424" s="19" t="s">
        <v>95</v>
      </c>
      <c r="H424" s="52" t="s">
        <v>98</v>
      </c>
    </row>
    <row r="425" spans="2:8" ht="18.75" x14ac:dyDescent="0.25">
      <c r="B425" s="109"/>
      <c r="C425" s="51" t="s">
        <v>107</v>
      </c>
      <c r="D425" s="19">
        <v>75</v>
      </c>
      <c r="E425" s="19" t="s">
        <v>93</v>
      </c>
      <c r="F425" s="19">
        <v>130.63</v>
      </c>
      <c r="G425" s="19" t="s">
        <v>95</v>
      </c>
      <c r="H425" s="52" t="s">
        <v>98</v>
      </c>
    </row>
    <row r="426" spans="2:8" ht="18.75" x14ac:dyDescent="0.25">
      <c r="B426" s="109"/>
      <c r="C426" s="51" t="s">
        <v>107</v>
      </c>
      <c r="D426" s="19">
        <v>75</v>
      </c>
      <c r="E426" s="19" t="s">
        <v>93</v>
      </c>
      <c r="F426" s="19">
        <v>61</v>
      </c>
      <c r="G426" s="19" t="s">
        <v>95</v>
      </c>
      <c r="H426" s="52" t="s">
        <v>98</v>
      </c>
    </row>
    <row r="427" spans="2:8" ht="18.75" x14ac:dyDescent="0.25">
      <c r="B427" s="109"/>
      <c r="C427" s="51" t="s">
        <v>107</v>
      </c>
      <c r="D427" s="19">
        <v>75</v>
      </c>
      <c r="E427" s="19" t="s">
        <v>93</v>
      </c>
      <c r="F427" s="19">
        <v>172</v>
      </c>
      <c r="G427" s="19" t="s">
        <v>95</v>
      </c>
      <c r="H427" s="52" t="s">
        <v>98</v>
      </c>
    </row>
    <row r="428" spans="2:8" ht="18.75" x14ac:dyDescent="0.25">
      <c r="B428" s="109"/>
      <c r="C428" s="51" t="s">
        <v>107</v>
      </c>
      <c r="D428" s="19">
        <v>75</v>
      </c>
      <c r="E428" s="19" t="s">
        <v>93</v>
      </c>
      <c r="F428" s="19">
        <v>26.3</v>
      </c>
      <c r="G428" s="19" t="s">
        <v>95</v>
      </c>
      <c r="H428" s="52" t="s">
        <v>98</v>
      </c>
    </row>
    <row r="429" spans="2:8" ht="18.75" x14ac:dyDescent="0.25">
      <c r="B429" s="109"/>
      <c r="C429" s="51" t="s">
        <v>107</v>
      </c>
      <c r="D429" s="19">
        <v>75</v>
      </c>
      <c r="E429" s="19" t="s">
        <v>93</v>
      </c>
      <c r="F429" s="19">
        <v>418</v>
      </c>
      <c r="G429" s="19" t="s">
        <v>95</v>
      </c>
      <c r="H429" s="52" t="s">
        <v>98</v>
      </c>
    </row>
    <row r="430" spans="2:8" ht="18.75" x14ac:dyDescent="0.25">
      <c r="B430" s="109"/>
      <c r="C430" s="51" t="s">
        <v>107</v>
      </c>
      <c r="D430" s="19">
        <v>75</v>
      </c>
      <c r="E430" s="19" t="s">
        <v>93</v>
      </c>
      <c r="F430" s="19">
        <v>80</v>
      </c>
      <c r="G430" s="19" t="s">
        <v>95</v>
      </c>
      <c r="H430" s="52" t="s">
        <v>98</v>
      </c>
    </row>
    <row r="431" spans="2:8" ht="18.75" x14ac:dyDescent="0.25">
      <c r="B431" s="109"/>
      <c r="C431" s="51" t="s">
        <v>107</v>
      </c>
      <c r="D431" s="19">
        <v>75</v>
      </c>
      <c r="E431" s="19" t="s">
        <v>93</v>
      </c>
      <c r="F431" s="19">
        <v>74</v>
      </c>
      <c r="G431" s="19" t="s">
        <v>95</v>
      </c>
      <c r="H431" s="52" t="s">
        <v>98</v>
      </c>
    </row>
    <row r="432" spans="2:8" ht="18.75" x14ac:dyDescent="0.25">
      <c r="B432" s="109"/>
      <c r="C432" s="51" t="s">
        <v>107</v>
      </c>
      <c r="D432" s="19">
        <v>90</v>
      </c>
      <c r="E432" s="19" t="s">
        <v>93</v>
      </c>
      <c r="F432" s="19">
        <v>183</v>
      </c>
      <c r="G432" s="19" t="s">
        <v>95</v>
      </c>
      <c r="H432" s="52" t="s">
        <v>98</v>
      </c>
    </row>
    <row r="433" spans="2:8" ht="18.75" x14ac:dyDescent="0.25">
      <c r="B433" s="109"/>
      <c r="C433" s="51" t="s">
        <v>107</v>
      </c>
      <c r="D433" s="19">
        <v>90</v>
      </c>
      <c r="E433" s="19" t="s">
        <v>93</v>
      </c>
      <c r="F433" s="19">
        <v>1446</v>
      </c>
      <c r="G433" s="19" t="s">
        <v>95</v>
      </c>
      <c r="H433" s="52" t="s">
        <v>98</v>
      </c>
    </row>
    <row r="434" spans="2:8" ht="18.75" x14ac:dyDescent="0.25">
      <c r="B434" s="109"/>
      <c r="C434" s="51" t="s">
        <v>107</v>
      </c>
      <c r="D434" s="19">
        <v>90</v>
      </c>
      <c r="E434" s="19" t="s">
        <v>93</v>
      </c>
      <c r="F434" s="19">
        <v>82</v>
      </c>
      <c r="G434" s="19" t="s">
        <v>95</v>
      </c>
      <c r="H434" s="52" t="s">
        <v>98</v>
      </c>
    </row>
    <row r="435" spans="2:8" ht="18.75" x14ac:dyDescent="0.25">
      <c r="B435" s="109"/>
      <c r="C435" s="51" t="s">
        <v>107</v>
      </c>
      <c r="D435" s="19">
        <v>90</v>
      </c>
      <c r="E435" s="19" t="s">
        <v>93</v>
      </c>
      <c r="F435" s="19">
        <v>280</v>
      </c>
      <c r="G435" s="19" t="s">
        <v>95</v>
      </c>
      <c r="H435" s="52" t="s">
        <v>98</v>
      </c>
    </row>
    <row r="436" spans="2:8" ht="18.75" x14ac:dyDescent="0.25">
      <c r="B436" s="109"/>
      <c r="C436" s="51" t="s">
        <v>107</v>
      </c>
      <c r="D436" s="19">
        <v>90</v>
      </c>
      <c r="E436" s="19" t="s">
        <v>93</v>
      </c>
      <c r="F436" s="19">
        <v>154</v>
      </c>
      <c r="G436" s="19" t="s">
        <v>95</v>
      </c>
      <c r="H436" s="52" t="s">
        <v>98</v>
      </c>
    </row>
    <row r="437" spans="2:8" ht="18.75" x14ac:dyDescent="0.25">
      <c r="B437" s="109"/>
      <c r="C437" s="51" t="s">
        <v>107</v>
      </c>
      <c r="D437" s="19">
        <v>90</v>
      </c>
      <c r="E437" s="19" t="s">
        <v>93</v>
      </c>
      <c r="F437" s="19">
        <v>127</v>
      </c>
      <c r="G437" s="19" t="s">
        <v>95</v>
      </c>
      <c r="H437" s="52" t="s">
        <v>98</v>
      </c>
    </row>
    <row r="438" spans="2:8" ht="18.75" x14ac:dyDescent="0.25">
      <c r="B438" s="109"/>
      <c r="C438" s="51" t="s">
        <v>107</v>
      </c>
      <c r="D438" s="19">
        <v>90</v>
      </c>
      <c r="E438" s="19" t="s">
        <v>93</v>
      </c>
      <c r="F438" s="19">
        <v>109</v>
      </c>
      <c r="G438" s="19" t="s">
        <v>95</v>
      </c>
      <c r="H438" s="52" t="s">
        <v>98</v>
      </c>
    </row>
    <row r="439" spans="2:8" ht="18.75" x14ac:dyDescent="0.25">
      <c r="B439" s="109"/>
      <c r="C439" s="51" t="s">
        <v>107</v>
      </c>
      <c r="D439" s="19">
        <v>90</v>
      </c>
      <c r="E439" s="19" t="s">
        <v>93</v>
      </c>
      <c r="F439" s="19">
        <v>18</v>
      </c>
      <c r="G439" s="19" t="s">
        <v>95</v>
      </c>
      <c r="H439" s="52" t="s">
        <v>98</v>
      </c>
    </row>
    <row r="440" spans="2:8" ht="18.75" x14ac:dyDescent="0.25">
      <c r="B440" s="109"/>
      <c r="C440" s="51" t="s">
        <v>107</v>
      </c>
      <c r="D440" s="19">
        <v>90</v>
      </c>
      <c r="E440" s="19" t="s">
        <v>93</v>
      </c>
      <c r="F440" s="19">
        <v>16</v>
      </c>
      <c r="G440" s="19" t="s">
        <v>95</v>
      </c>
      <c r="H440" s="52" t="s">
        <v>98</v>
      </c>
    </row>
    <row r="441" spans="2:8" ht="18.75" x14ac:dyDescent="0.25">
      <c r="B441" s="109"/>
      <c r="C441" s="51" t="s">
        <v>107</v>
      </c>
      <c r="D441" s="19">
        <v>90</v>
      </c>
      <c r="E441" s="19" t="s">
        <v>93</v>
      </c>
      <c r="F441" s="19">
        <v>60</v>
      </c>
      <c r="G441" s="19" t="s">
        <v>95</v>
      </c>
      <c r="H441" s="52" t="s">
        <v>98</v>
      </c>
    </row>
    <row r="442" spans="2:8" ht="18.75" x14ac:dyDescent="0.25">
      <c r="B442" s="109"/>
      <c r="C442" s="51" t="s">
        <v>107</v>
      </c>
      <c r="D442" s="19">
        <v>90</v>
      </c>
      <c r="E442" s="19" t="s">
        <v>93</v>
      </c>
      <c r="F442" s="19">
        <v>28</v>
      </c>
      <c r="G442" s="19" t="s">
        <v>95</v>
      </c>
      <c r="H442" s="52" t="s">
        <v>98</v>
      </c>
    </row>
    <row r="443" spans="2:8" ht="18.75" x14ac:dyDescent="0.25">
      <c r="B443" s="109"/>
      <c r="C443" s="51" t="s">
        <v>107</v>
      </c>
      <c r="D443" s="19">
        <v>90</v>
      </c>
      <c r="E443" s="19" t="s">
        <v>93</v>
      </c>
      <c r="F443" s="19">
        <v>141</v>
      </c>
      <c r="G443" s="19" t="s">
        <v>95</v>
      </c>
      <c r="H443" s="52" t="s">
        <v>98</v>
      </c>
    </row>
    <row r="444" spans="2:8" ht="18.75" x14ac:dyDescent="0.25">
      <c r="B444" s="109"/>
      <c r="C444" s="51" t="s">
        <v>107</v>
      </c>
      <c r="D444" s="19">
        <v>90</v>
      </c>
      <c r="E444" s="19" t="s">
        <v>93</v>
      </c>
      <c r="F444" s="19">
        <v>520</v>
      </c>
      <c r="G444" s="19" t="s">
        <v>95</v>
      </c>
      <c r="H444" s="52" t="s">
        <v>98</v>
      </c>
    </row>
    <row r="445" spans="2:8" ht="18.75" x14ac:dyDescent="0.25">
      <c r="B445" s="109"/>
      <c r="C445" s="51" t="s">
        <v>107</v>
      </c>
      <c r="D445" s="19">
        <v>90</v>
      </c>
      <c r="E445" s="19" t="s">
        <v>93</v>
      </c>
      <c r="F445" s="19">
        <v>228</v>
      </c>
      <c r="G445" s="19" t="s">
        <v>95</v>
      </c>
      <c r="H445" s="52" t="s">
        <v>98</v>
      </c>
    </row>
    <row r="446" spans="2:8" ht="18.75" x14ac:dyDescent="0.25">
      <c r="B446" s="109"/>
      <c r="C446" s="51" t="s">
        <v>107</v>
      </c>
      <c r="D446" s="19">
        <v>90</v>
      </c>
      <c r="E446" s="19" t="s">
        <v>93</v>
      </c>
      <c r="F446" s="19">
        <v>96.39</v>
      </c>
      <c r="G446" s="19" t="s">
        <v>95</v>
      </c>
      <c r="H446" s="52" t="s">
        <v>98</v>
      </c>
    </row>
    <row r="447" spans="2:8" ht="18.75" x14ac:dyDescent="0.25">
      <c r="B447" s="109"/>
      <c r="C447" s="51" t="s">
        <v>107</v>
      </c>
      <c r="D447" s="19">
        <v>90</v>
      </c>
      <c r="E447" s="19" t="s">
        <v>93</v>
      </c>
      <c r="F447" s="19">
        <v>100</v>
      </c>
      <c r="G447" s="19" t="s">
        <v>95</v>
      </c>
      <c r="H447" s="52" t="s">
        <v>98</v>
      </c>
    </row>
    <row r="448" spans="2:8" ht="18.75" x14ac:dyDescent="0.25">
      <c r="B448" s="109"/>
      <c r="C448" s="51" t="s">
        <v>107</v>
      </c>
      <c r="D448" s="19">
        <v>90</v>
      </c>
      <c r="E448" s="19" t="s">
        <v>93</v>
      </c>
      <c r="F448" s="19">
        <v>1550</v>
      </c>
      <c r="G448" s="19" t="s">
        <v>95</v>
      </c>
      <c r="H448" s="52" t="s">
        <v>98</v>
      </c>
    </row>
    <row r="449" spans="2:8" ht="18.75" x14ac:dyDescent="0.25">
      <c r="B449" s="109"/>
      <c r="C449" s="51" t="s">
        <v>107</v>
      </c>
      <c r="D449" s="19">
        <v>110</v>
      </c>
      <c r="E449" s="19" t="s">
        <v>93</v>
      </c>
      <c r="F449" s="19">
        <v>18</v>
      </c>
      <c r="G449" s="19" t="s">
        <v>95</v>
      </c>
      <c r="H449" s="52" t="s">
        <v>98</v>
      </c>
    </row>
    <row r="450" spans="2:8" ht="18.75" x14ac:dyDescent="0.25">
      <c r="B450" s="109"/>
      <c r="C450" s="51" t="s">
        <v>107</v>
      </c>
      <c r="D450" s="19">
        <v>110</v>
      </c>
      <c r="E450" s="19" t="s">
        <v>93</v>
      </c>
      <c r="F450" s="19">
        <v>1360</v>
      </c>
      <c r="G450" s="19" t="s">
        <v>95</v>
      </c>
      <c r="H450" s="52" t="s">
        <v>98</v>
      </c>
    </row>
    <row r="451" spans="2:8" ht="18.75" x14ac:dyDescent="0.25">
      <c r="B451" s="109"/>
      <c r="C451" s="51" t="s">
        <v>107</v>
      </c>
      <c r="D451" s="19">
        <v>110</v>
      </c>
      <c r="E451" s="19" t="s">
        <v>93</v>
      </c>
      <c r="F451" s="19">
        <v>598</v>
      </c>
      <c r="G451" s="19" t="s">
        <v>95</v>
      </c>
      <c r="H451" s="52" t="s">
        <v>98</v>
      </c>
    </row>
    <row r="452" spans="2:8" ht="18.75" x14ac:dyDescent="0.25">
      <c r="B452" s="109"/>
      <c r="C452" s="51" t="s">
        <v>107</v>
      </c>
      <c r="D452" s="19">
        <v>125</v>
      </c>
      <c r="E452" s="19" t="s">
        <v>93</v>
      </c>
      <c r="F452" s="19">
        <v>420</v>
      </c>
      <c r="G452" s="19" t="s">
        <v>95</v>
      </c>
      <c r="H452" s="52" t="s">
        <v>98</v>
      </c>
    </row>
    <row r="453" spans="2:8" ht="18.75" x14ac:dyDescent="0.25">
      <c r="B453" s="109"/>
      <c r="C453" s="51" t="s">
        <v>107</v>
      </c>
      <c r="D453" s="19">
        <v>125</v>
      </c>
      <c r="E453" s="19" t="s">
        <v>93</v>
      </c>
      <c r="F453" s="19">
        <v>196</v>
      </c>
      <c r="G453" s="19" t="s">
        <v>95</v>
      </c>
      <c r="H453" s="52" t="s">
        <v>98</v>
      </c>
    </row>
    <row r="454" spans="2:8" ht="18.75" x14ac:dyDescent="0.25">
      <c r="B454" s="109"/>
      <c r="C454" s="51" t="s">
        <v>107</v>
      </c>
      <c r="D454" s="19">
        <v>125</v>
      </c>
      <c r="E454" s="19" t="s">
        <v>93</v>
      </c>
      <c r="F454" s="19">
        <v>100</v>
      </c>
      <c r="G454" s="19" t="s">
        <v>95</v>
      </c>
      <c r="H454" s="52" t="s">
        <v>98</v>
      </c>
    </row>
    <row r="455" spans="2:8" ht="18.75" x14ac:dyDescent="0.25">
      <c r="B455" s="109"/>
      <c r="C455" s="51" t="s">
        <v>107</v>
      </c>
      <c r="D455" s="19">
        <v>140</v>
      </c>
      <c r="E455" s="19" t="s">
        <v>93</v>
      </c>
      <c r="F455" s="19">
        <v>816</v>
      </c>
      <c r="G455" s="19" t="s">
        <v>95</v>
      </c>
      <c r="H455" s="52" t="s">
        <v>98</v>
      </c>
    </row>
    <row r="456" spans="2:8" ht="18.75" x14ac:dyDescent="0.25">
      <c r="B456" s="109"/>
      <c r="C456" s="51" t="s">
        <v>107</v>
      </c>
      <c r="D456" s="19">
        <v>140</v>
      </c>
      <c r="E456" s="19" t="s">
        <v>93</v>
      </c>
      <c r="F456" s="19">
        <v>54</v>
      </c>
      <c r="G456" s="19" t="s">
        <v>95</v>
      </c>
      <c r="H456" s="52" t="s">
        <v>98</v>
      </c>
    </row>
    <row r="457" spans="2:8" ht="18.75" x14ac:dyDescent="0.25">
      <c r="B457" s="109"/>
      <c r="C457" s="51" t="s">
        <v>107</v>
      </c>
      <c r="D457" s="19">
        <v>140</v>
      </c>
      <c r="E457" s="19" t="s">
        <v>93</v>
      </c>
      <c r="F457" s="19">
        <v>100</v>
      </c>
      <c r="G457" s="19" t="s">
        <v>95</v>
      </c>
      <c r="H457" s="52" t="s">
        <v>98</v>
      </c>
    </row>
    <row r="458" spans="2:8" ht="18.75" x14ac:dyDescent="0.25">
      <c r="B458" s="109"/>
      <c r="C458" s="51" t="s">
        <v>107</v>
      </c>
      <c r="D458" s="19">
        <v>160</v>
      </c>
      <c r="E458" s="19" t="s">
        <v>93</v>
      </c>
      <c r="F458" s="19">
        <v>320</v>
      </c>
      <c r="G458" s="19" t="s">
        <v>95</v>
      </c>
      <c r="H458" s="52" t="s">
        <v>98</v>
      </c>
    </row>
    <row r="459" spans="2:8" ht="18.75" x14ac:dyDescent="0.25">
      <c r="B459" s="109"/>
      <c r="C459" s="51" t="s">
        <v>107</v>
      </c>
      <c r="D459" s="19">
        <v>160</v>
      </c>
      <c r="E459" s="19" t="s">
        <v>93</v>
      </c>
      <c r="F459" s="19">
        <v>54</v>
      </c>
      <c r="G459" s="19" t="s">
        <v>95</v>
      </c>
      <c r="H459" s="52" t="s">
        <v>98</v>
      </c>
    </row>
    <row r="460" spans="2:8" ht="18.75" x14ac:dyDescent="0.25">
      <c r="B460" s="109"/>
      <c r="C460" s="51" t="s">
        <v>107</v>
      </c>
      <c r="D460" s="19">
        <v>160</v>
      </c>
      <c r="E460" s="19" t="s">
        <v>93</v>
      </c>
      <c r="F460" s="19">
        <v>220</v>
      </c>
      <c r="G460" s="19" t="s">
        <v>95</v>
      </c>
      <c r="H460" s="52" t="s">
        <v>98</v>
      </c>
    </row>
    <row r="461" spans="2:8" ht="18.75" x14ac:dyDescent="0.25">
      <c r="B461" s="109"/>
      <c r="C461" s="51" t="s">
        <v>107</v>
      </c>
      <c r="D461" s="19">
        <v>160</v>
      </c>
      <c r="E461" s="19" t="s">
        <v>93</v>
      </c>
      <c r="F461" s="19">
        <v>340</v>
      </c>
      <c r="G461" s="19" t="s">
        <v>95</v>
      </c>
      <c r="H461" s="52" t="s">
        <v>98</v>
      </c>
    </row>
    <row r="462" spans="2:8" ht="19.5" thickBot="1" x14ac:dyDescent="0.3">
      <c r="B462" s="110"/>
      <c r="C462" s="53" t="s">
        <v>107</v>
      </c>
      <c r="D462" s="20">
        <v>160</v>
      </c>
      <c r="E462" s="20" t="s">
        <v>93</v>
      </c>
      <c r="F462" s="20">
        <v>40</v>
      </c>
      <c r="G462" s="20" t="s">
        <v>95</v>
      </c>
      <c r="H462" s="54" t="s">
        <v>98</v>
      </c>
    </row>
    <row r="463" spans="2:8" ht="18.75" x14ac:dyDescent="0.25">
      <c r="B463" s="112" t="s">
        <v>128</v>
      </c>
      <c r="C463" s="51" t="s">
        <v>154</v>
      </c>
      <c r="D463" s="51">
        <v>200</v>
      </c>
      <c r="E463" s="51" t="s">
        <v>93</v>
      </c>
      <c r="F463" s="51">
        <v>732</v>
      </c>
      <c r="G463" s="51" t="s">
        <v>95</v>
      </c>
      <c r="H463" s="51" t="s">
        <v>25</v>
      </c>
    </row>
    <row r="464" spans="2:8" ht="18.75" x14ac:dyDescent="0.25">
      <c r="B464" s="113"/>
      <c r="C464" s="51" t="s">
        <v>107</v>
      </c>
      <c r="D464" s="51">
        <v>63</v>
      </c>
      <c r="E464" s="51" t="s">
        <v>94</v>
      </c>
      <c r="F464" s="51">
        <v>80</v>
      </c>
      <c r="G464" s="51" t="s">
        <v>95</v>
      </c>
      <c r="H464" s="51" t="s">
        <v>25</v>
      </c>
    </row>
    <row r="465" spans="2:8" ht="18.75" x14ac:dyDescent="0.25">
      <c r="B465" s="113"/>
      <c r="C465" s="51" t="s">
        <v>154</v>
      </c>
      <c r="D465" s="19">
        <v>125</v>
      </c>
      <c r="E465" s="19" t="s">
        <v>93</v>
      </c>
      <c r="F465" s="19">
        <v>700</v>
      </c>
      <c r="G465" s="19" t="s">
        <v>95</v>
      </c>
      <c r="H465" s="52" t="s">
        <v>25</v>
      </c>
    </row>
    <row r="466" spans="2:8" ht="18.75" x14ac:dyDescent="0.25">
      <c r="B466" s="113"/>
      <c r="C466" s="51" t="s">
        <v>154</v>
      </c>
      <c r="D466" s="19">
        <v>110</v>
      </c>
      <c r="E466" s="19" t="s">
        <v>93</v>
      </c>
      <c r="F466" s="19">
        <v>550</v>
      </c>
      <c r="G466" s="19" t="s">
        <v>95</v>
      </c>
      <c r="H466" s="52" t="s">
        <v>25</v>
      </c>
    </row>
    <row r="467" spans="2:8" ht="18.75" x14ac:dyDescent="0.25">
      <c r="B467" s="113"/>
      <c r="C467" s="51" t="s">
        <v>154</v>
      </c>
      <c r="D467" s="19">
        <v>90</v>
      </c>
      <c r="E467" s="19" t="s">
        <v>93</v>
      </c>
      <c r="F467" s="19">
        <v>1150</v>
      </c>
      <c r="G467" s="19" t="s">
        <v>95</v>
      </c>
      <c r="H467" s="52" t="s">
        <v>25</v>
      </c>
    </row>
    <row r="468" spans="2:8" ht="18.75" x14ac:dyDescent="0.25">
      <c r="B468" s="113"/>
      <c r="C468" s="51" t="s">
        <v>154</v>
      </c>
      <c r="D468" s="19">
        <v>75</v>
      </c>
      <c r="E468" s="19" t="s">
        <v>93</v>
      </c>
      <c r="F468" s="19">
        <v>1500</v>
      </c>
      <c r="G468" s="19" t="s">
        <v>95</v>
      </c>
      <c r="H468" s="52" t="s">
        <v>25</v>
      </c>
    </row>
    <row r="469" spans="2:8" ht="18.75" x14ac:dyDescent="0.25">
      <c r="B469" s="113"/>
      <c r="C469" s="51" t="s">
        <v>154</v>
      </c>
      <c r="D469" s="19">
        <v>63</v>
      </c>
      <c r="E469" s="19" t="s">
        <v>93</v>
      </c>
      <c r="F469" s="19">
        <v>500</v>
      </c>
      <c r="G469" s="19" t="s">
        <v>95</v>
      </c>
      <c r="H469" s="52" t="s">
        <v>25</v>
      </c>
    </row>
    <row r="470" spans="2:8" ht="18.75" x14ac:dyDescent="0.25">
      <c r="B470" s="113"/>
      <c r="C470" s="51" t="s">
        <v>154</v>
      </c>
      <c r="D470" s="19">
        <v>50</v>
      </c>
      <c r="E470" s="19" t="s">
        <v>93</v>
      </c>
      <c r="F470" s="19">
        <v>1500</v>
      </c>
      <c r="G470" s="19" t="s">
        <v>95</v>
      </c>
      <c r="H470" s="52" t="s">
        <v>25</v>
      </c>
    </row>
    <row r="471" spans="2:8" ht="18.75" x14ac:dyDescent="0.25">
      <c r="B471" s="113"/>
      <c r="C471" s="51" t="s">
        <v>154</v>
      </c>
      <c r="D471" s="19">
        <v>63</v>
      </c>
      <c r="E471" s="19" t="s">
        <v>93</v>
      </c>
      <c r="F471" s="19">
        <v>2500</v>
      </c>
      <c r="G471" s="19" t="s">
        <v>95</v>
      </c>
      <c r="H471" s="52" t="s">
        <v>25</v>
      </c>
    </row>
    <row r="472" spans="2:8" ht="18.75" x14ac:dyDescent="0.25">
      <c r="B472" s="113"/>
      <c r="C472" s="51" t="s">
        <v>154</v>
      </c>
      <c r="D472" s="19">
        <v>50</v>
      </c>
      <c r="E472" s="19" t="s">
        <v>93</v>
      </c>
      <c r="F472" s="19">
        <v>3000</v>
      </c>
      <c r="G472" s="19" t="s">
        <v>95</v>
      </c>
      <c r="H472" s="52" t="s">
        <v>25</v>
      </c>
    </row>
    <row r="473" spans="2:8" ht="18.75" x14ac:dyDescent="0.25">
      <c r="B473" s="113"/>
      <c r="C473" s="51" t="s">
        <v>154</v>
      </c>
      <c r="D473" s="19">
        <v>90</v>
      </c>
      <c r="E473" s="19" t="s">
        <v>93</v>
      </c>
      <c r="F473" s="19">
        <v>2100</v>
      </c>
      <c r="G473" s="19" t="s">
        <v>95</v>
      </c>
      <c r="H473" s="52" t="s">
        <v>25</v>
      </c>
    </row>
    <row r="474" spans="2:8" ht="18.75" x14ac:dyDescent="0.25">
      <c r="B474" s="113"/>
      <c r="C474" s="51" t="s">
        <v>154</v>
      </c>
      <c r="D474" s="19">
        <v>63</v>
      </c>
      <c r="E474" s="19" t="s">
        <v>94</v>
      </c>
      <c r="F474" s="19">
        <v>400</v>
      </c>
      <c r="G474" s="19" t="s">
        <v>95</v>
      </c>
      <c r="H474" s="52" t="s">
        <v>25</v>
      </c>
    </row>
    <row r="475" spans="2:8" ht="18.75" x14ac:dyDescent="0.25">
      <c r="B475" s="113"/>
      <c r="C475" s="51" t="s">
        <v>154</v>
      </c>
      <c r="D475" s="19">
        <v>50</v>
      </c>
      <c r="E475" s="19" t="s">
        <v>94</v>
      </c>
      <c r="F475" s="19">
        <v>2610</v>
      </c>
      <c r="G475" s="19" t="s">
        <v>95</v>
      </c>
      <c r="H475" s="52" t="s">
        <v>25</v>
      </c>
    </row>
    <row r="476" spans="2:8" ht="18.75" x14ac:dyDescent="0.25">
      <c r="B476" s="113"/>
      <c r="C476" s="51" t="s">
        <v>154</v>
      </c>
      <c r="D476" s="19">
        <v>63</v>
      </c>
      <c r="E476" s="19" t="s">
        <v>93</v>
      </c>
      <c r="F476" s="19">
        <v>330</v>
      </c>
      <c r="G476" s="19" t="s">
        <v>95</v>
      </c>
      <c r="H476" s="52" t="s">
        <v>25</v>
      </c>
    </row>
    <row r="477" spans="2:8" ht="18.75" x14ac:dyDescent="0.25">
      <c r="B477" s="113"/>
      <c r="C477" s="51" t="s">
        <v>154</v>
      </c>
      <c r="D477" s="19">
        <v>63</v>
      </c>
      <c r="E477" s="19" t="s">
        <v>93</v>
      </c>
      <c r="F477" s="19">
        <v>712</v>
      </c>
      <c r="G477" s="19" t="s">
        <v>95</v>
      </c>
      <c r="H477" s="52" t="s">
        <v>25</v>
      </c>
    </row>
    <row r="478" spans="2:8" ht="18.75" x14ac:dyDescent="0.25">
      <c r="B478" s="113"/>
      <c r="C478" s="51" t="s">
        <v>154</v>
      </c>
      <c r="D478" s="19">
        <v>90</v>
      </c>
      <c r="E478" s="19" t="s">
        <v>93</v>
      </c>
      <c r="F478" s="19">
        <v>553</v>
      </c>
      <c r="G478" s="19" t="s">
        <v>95</v>
      </c>
      <c r="H478" s="52" t="s">
        <v>25</v>
      </c>
    </row>
    <row r="479" spans="2:8" ht="18.75" x14ac:dyDescent="0.25">
      <c r="B479" s="113"/>
      <c r="C479" s="51" t="s">
        <v>154</v>
      </c>
      <c r="D479" s="19">
        <v>90</v>
      </c>
      <c r="E479" s="19" t="s">
        <v>94</v>
      </c>
      <c r="F479" s="19">
        <v>1000</v>
      </c>
      <c r="G479" s="19" t="s">
        <v>95</v>
      </c>
      <c r="H479" s="52" t="s">
        <v>25</v>
      </c>
    </row>
    <row r="480" spans="2:8" ht="18.75" x14ac:dyDescent="0.25">
      <c r="B480" s="113"/>
      <c r="C480" s="51" t="s">
        <v>154</v>
      </c>
      <c r="D480" s="19">
        <v>60</v>
      </c>
      <c r="E480" s="19" t="s">
        <v>97</v>
      </c>
      <c r="F480" s="19">
        <v>1100</v>
      </c>
      <c r="G480" s="19" t="s">
        <v>95</v>
      </c>
      <c r="H480" s="52" t="s">
        <v>25</v>
      </c>
    </row>
    <row r="481" spans="2:8" ht="18.75" x14ac:dyDescent="0.25">
      <c r="B481" s="113"/>
      <c r="C481" s="51" t="s">
        <v>154</v>
      </c>
      <c r="D481" s="19">
        <v>75</v>
      </c>
      <c r="E481" s="19" t="s">
        <v>93</v>
      </c>
      <c r="F481" s="19">
        <v>1000</v>
      </c>
      <c r="G481" s="19" t="s">
        <v>95</v>
      </c>
      <c r="H481" s="52" t="s">
        <v>25</v>
      </c>
    </row>
    <row r="482" spans="2:8" ht="18.75" x14ac:dyDescent="0.25">
      <c r="B482" s="113"/>
      <c r="C482" s="51" t="s">
        <v>154</v>
      </c>
      <c r="D482" s="19">
        <v>63</v>
      </c>
      <c r="E482" s="19" t="s">
        <v>93</v>
      </c>
      <c r="F482" s="19">
        <v>5400</v>
      </c>
      <c r="G482" s="19" t="s">
        <v>95</v>
      </c>
      <c r="H482" s="52" t="s">
        <v>25</v>
      </c>
    </row>
    <row r="483" spans="2:8" ht="18.75" x14ac:dyDescent="0.25">
      <c r="B483" s="113"/>
      <c r="C483" s="51" t="s">
        <v>154</v>
      </c>
      <c r="D483" s="19">
        <v>50</v>
      </c>
      <c r="E483" s="19" t="s">
        <v>93</v>
      </c>
      <c r="F483" s="19">
        <v>2600</v>
      </c>
      <c r="G483" s="19" t="s">
        <v>95</v>
      </c>
      <c r="H483" s="52" t="s">
        <v>25</v>
      </c>
    </row>
    <row r="484" spans="2:8" ht="18.75" x14ac:dyDescent="0.25">
      <c r="B484" s="113"/>
      <c r="C484" s="51" t="s">
        <v>154</v>
      </c>
      <c r="D484" s="19">
        <v>90</v>
      </c>
      <c r="E484" s="19" t="s">
        <v>93</v>
      </c>
      <c r="F484" s="19">
        <v>2500</v>
      </c>
      <c r="G484" s="19" t="s">
        <v>95</v>
      </c>
      <c r="H484" s="52" t="s">
        <v>25</v>
      </c>
    </row>
    <row r="485" spans="2:8" ht="18.75" x14ac:dyDescent="0.25">
      <c r="B485" s="113"/>
      <c r="C485" s="51" t="s">
        <v>154</v>
      </c>
      <c r="D485" s="19">
        <v>40</v>
      </c>
      <c r="E485" s="19" t="s">
        <v>93</v>
      </c>
      <c r="F485" s="19">
        <v>3000</v>
      </c>
      <c r="G485" s="19" t="s">
        <v>95</v>
      </c>
      <c r="H485" s="52" t="s">
        <v>25</v>
      </c>
    </row>
    <row r="486" spans="2:8" ht="18.75" x14ac:dyDescent="0.25">
      <c r="B486" s="113"/>
      <c r="C486" s="51" t="s">
        <v>154</v>
      </c>
      <c r="D486" s="19">
        <v>200</v>
      </c>
      <c r="E486" s="19" t="s">
        <v>93</v>
      </c>
      <c r="F486" s="19">
        <v>726</v>
      </c>
      <c r="G486" s="19" t="s">
        <v>95</v>
      </c>
      <c r="H486" s="52" t="s">
        <v>25</v>
      </c>
    </row>
    <row r="487" spans="2:8" ht="18.75" x14ac:dyDescent="0.25">
      <c r="B487" s="113"/>
      <c r="C487" s="51" t="s">
        <v>154</v>
      </c>
      <c r="D487" s="19">
        <v>90</v>
      </c>
      <c r="E487" s="19" t="s">
        <v>93</v>
      </c>
      <c r="F487" s="19">
        <v>2584</v>
      </c>
      <c r="G487" s="19" t="s">
        <v>95</v>
      </c>
      <c r="H487" s="52" t="s">
        <v>25</v>
      </c>
    </row>
    <row r="488" spans="2:8" ht="18.75" x14ac:dyDescent="0.25">
      <c r="B488" s="113"/>
      <c r="C488" s="51" t="s">
        <v>154</v>
      </c>
      <c r="D488" s="19">
        <v>63</v>
      </c>
      <c r="E488" s="19" t="s">
        <v>93</v>
      </c>
      <c r="F488" s="19">
        <v>50</v>
      </c>
      <c r="G488" s="19" t="s">
        <v>95</v>
      </c>
      <c r="H488" s="52" t="s">
        <v>25</v>
      </c>
    </row>
    <row r="489" spans="2:8" ht="18.75" x14ac:dyDescent="0.25">
      <c r="B489" s="113"/>
      <c r="C489" s="51" t="s">
        <v>154</v>
      </c>
      <c r="D489" s="19">
        <v>50</v>
      </c>
      <c r="E489" s="19" t="s">
        <v>93</v>
      </c>
      <c r="F489" s="19">
        <v>150</v>
      </c>
      <c r="G489" s="19" t="s">
        <v>95</v>
      </c>
      <c r="H489" s="52" t="s">
        <v>25</v>
      </c>
    </row>
    <row r="490" spans="2:8" ht="18.75" x14ac:dyDescent="0.25">
      <c r="B490" s="113"/>
      <c r="C490" s="51" t="s">
        <v>154</v>
      </c>
      <c r="D490" s="19">
        <v>60</v>
      </c>
      <c r="E490" s="19" t="s">
        <v>93</v>
      </c>
      <c r="F490" s="19">
        <v>30</v>
      </c>
      <c r="G490" s="19" t="s">
        <v>95</v>
      </c>
      <c r="H490" s="52" t="s">
        <v>25</v>
      </c>
    </row>
    <row r="491" spans="2:8" ht="18.75" x14ac:dyDescent="0.25">
      <c r="B491" s="113"/>
      <c r="C491" s="51" t="s">
        <v>154</v>
      </c>
      <c r="D491" s="19">
        <v>63</v>
      </c>
      <c r="E491" s="19" t="s">
        <v>93</v>
      </c>
      <c r="F491" s="19">
        <v>70</v>
      </c>
      <c r="G491" s="19" t="s">
        <v>95</v>
      </c>
      <c r="H491" s="52" t="s">
        <v>25</v>
      </c>
    </row>
    <row r="492" spans="2:8" ht="18.75" x14ac:dyDescent="0.25">
      <c r="B492" s="113"/>
      <c r="C492" s="51" t="s">
        <v>154</v>
      </c>
      <c r="D492" s="19">
        <v>63</v>
      </c>
      <c r="E492" s="19" t="s">
        <v>93</v>
      </c>
      <c r="F492" s="19">
        <v>294</v>
      </c>
      <c r="G492" s="19" t="s">
        <v>95</v>
      </c>
      <c r="H492" s="52" t="s">
        <v>25</v>
      </c>
    </row>
    <row r="493" spans="2:8" ht="18.75" x14ac:dyDescent="0.25">
      <c r="B493" s="113"/>
      <c r="C493" s="51" t="s">
        <v>154</v>
      </c>
      <c r="D493" s="19">
        <v>63</v>
      </c>
      <c r="E493" s="19" t="s">
        <v>93</v>
      </c>
      <c r="F493" s="19">
        <v>800</v>
      </c>
      <c r="G493" s="19" t="s">
        <v>95</v>
      </c>
      <c r="H493" s="52" t="s">
        <v>25</v>
      </c>
    </row>
    <row r="494" spans="2:8" ht="18.75" x14ac:dyDescent="0.25">
      <c r="B494" s="113"/>
      <c r="C494" s="51" t="s">
        <v>154</v>
      </c>
      <c r="D494" s="19">
        <v>50</v>
      </c>
      <c r="E494" s="19" t="s">
        <v>93</v>
      </c>
      <c r="F494" s="19">
        <v>50</v>
      </c>
      <c r="G494" s="19" t="s">
        <v>95</v>
      </c>
      <c r="H494" s="52" t="s">
        <v>25</v>
      </c>
    </row>
    <row r="495" spans="2:8" ht="18.75" x14ac:dyDescent="0.25">
      <c r="B495" s="113"/>
      <c r="C495" s="51" t="s">
        <v>154</v>
      </c>
      <c r="D495" s="19">
        <v>63</v>
      </c>
      <c r="E495" s="19" t="s">
        <v>93</v>
      </c>
      <c r="F495" s="19">
        <v>70</v>
      </c>
      <c r="G495" s="19" t="s">
        <v>95</v>
      </c>
      <c r="H495" s="52" t="s">
        <v>25</v>
      </c>
    </row>
    <row r="496" spans="2:8" ht="18.75" x14ac:dyDescent="0.25">
      <c r="B496" s="113"/>
      <c r="C496" s="51" t="s">
        <v>154</v>
      </c>
      <c r="D496" s="19">
        <v>63</v>
      </c>
      <c r="E496" s="19" t="s">
        <v>93</v>
      </c>
      <c r="F496" s="19">
        <v>400</v>
      </c>
      <c r="G496" s="19" t="s">
        <v>95</v>
      </c>
      <c r="H496" s="52" t="s">
        <v>25</v>
      </c>
    </row>
    <row r="497" spans="2:8" ht="18.75" x14ac:dyDescent="0.25">
      <c r="B497" s="113"/>
      <c r="C497" s="51" t="s">
        <v>154</v>
      </c>
      <c r="D497" s="19">
        <v>63</v>
      </c>
      <c r="E497" s="19" t="s">
        <v>93</v>
      </c>
      <c r="F497" s="19">
        <v>781</v>
      </c>
      <c r="G497" s="19" t="s">
        <v>95</v>
      </c>
      <c r="H497" s="52" t="s">
        <v>25</v>
      </c>
    </row>
    <row r="498" spans="2:8" ht="18.75" x14ac:dyDescent="0.25">
      <c r="B498" s="113"/>
      <c r="C498" s="51" t="s">
        <v>154</v>
      </c>
      <c r="D498" s="19">
        <v>63</v>
      </c>
      <c r="E498" s="19" t="s">
        <v>93</v>
      </c>
      <c r="F498" s="19">
        <v>867</v>
      </c>
      <c r="G498" s="19" t="s">
        <v>95</v>
      </c>
      <c r="H498" s="52" t="s">
        <v>25</v>
      </c>
    </row>
    <row r="499" spans="2:8" ht="18.75" x14ac:dyDescent="0.25">
      <c r="B499" s="113"/>
      <c r="C499" s="51" t="s">
        <v>154</v>
      </c>
      <c r="D499" s="19">
        <v>63</v>
      </c>
      <c r="E499" s="19" t="s">
        <v>93</v>
      </c>
      <c r="F499" s="19">
        <v>62</v>
      </c>
      <c r="G499" s="19" t="s">
        <v>95</v>
      </c>
      <c r="H499" s="52" t="s">
        <v>25</v>
      </c>
    </row>
    <row r="500" spans="2:8" ht="18.75" x14ac:dyDescent="0.25">
      <c r="B500" s="113"/>
      <c r="C500" s="51" t="s">
        <v>154</v>
      </c>
      <c r="D500" s="19">
        <v>63</v>
      </c>
      <c r="E500" s="19" t="s">
        <v>93</v>
      </c>
      <c r="F500" s="19">
        <v>42</v>
      </c>
      <c r="G500" s="19" t="s">
        <v>95</v>
      </c>
      <c r="H500" s="52" t="s">
        <v>25</v>
      </c>
    </row>
    <row r="501" spans="2:8" ht="18.75" x14ac:dyDescent="0.25">
      <c r="B501" s="113"/>
      <c r="C501" s="51" t="s">
        <v>154</v>
      </c>
      <c r="D501" s="19">
        <v>63</v>
      </c>
      <c r="E501" s="19" t="s">
        <v>93</v>
      </c>
      <c r="F501" s="19">
        <v>103</v>
      </c>
      <c r="G501" s="19" t="s">
        <v>95</v>
      </c>
      <c r="H501" s="52" t="s">
        <v>25</v>
      </c>
    </row>
    <row r="502" spans="2:8" ht="18.75" x14ac:dyDescent="0.25">
      <c r="B502" s="113"/>
      <c r="C502" s="51" t="s">
        <v>154</v>
      </c>
      <c r="D502" s="19">
        <v>63</v>
      </c>
      <c r="E502" s="19" t="s">
        <v>93</v>
      </c>
      <c r="F502" s="19">
        <v>497</v>
      </c>
      <c r="G502" s="19" t="s">
        <v>95</v>
      </c>
      <c r="H502" s="52" t="s">
        <v>25</v>
      </c>
    </row>
    <row r="503" spans="2:8" ht="18.75" x14ac:dyDescent="0.25">
      <c r="B503" s="113"/>
      <c r="C503" s="51" t="s">
        <v>154</v>
      </c>
      <c r="D503" s="19">
        <v>63</v>
      </c>
      <c r="E503" s="19" t="s">
        <v>93</v>
      </c>
      <c r="F503" s="19">
        <v>110.16</v>
      </c>
      <c r="G503" s="19" t="s">
        <v>95</v>
      </c>
      <c r="H503" s="52" t="s">
        <v>25</v>
      </c>
    </row>
    <row r="504" spans="2:8" ht="18.75" x14ac:dyDescent="0.25">
      <c r="B504" s="113"/>
      <c r="C504" s="51" t="s">
        <v>154</v>
      </c>
      <c r="D504" s="19">
        <v>63</v>
      </c>
      <c r="E504" s="19" t="s">
        <v>93</v>
      </c>
      <c r="F504" s="19">
        <v>68.150000000000006</v>
      </c>
      <c r="G504" s="19" t="s">
        <v>95</v>
      </c>
      <c r="H504" s="52" t="s">
        <v>25</v>
      </c>
    </row>
    <row r="505" spans="2:8" ht="18.75" x14ac:dyDescent="0.25">
      <c r="B505" s="113"/>
      <c r="C505" s="51" t="s">
        <v>154</v>
      </c>
      <c r="D505" s="19">
        <v>63</v>
      </c>
      <c r="E505" s="19" t="s">
        <v>93</v>
      </c>
      <c r="F505" s="19">
        <v>22.53</v>
      </c>
      <c r="G505" s="19" t="s">
        <v>95</v>
      </c>
      <c r="H505" s="52" t="s">
        <v>25</v>
      </c>
    </row>
    <row r="506" spans="2:8" ht="18.75" x14ac:dyDescent="0.25">
      <c r="B506" s="113"/>
      <c r="C506" s="51" t="s">
        <v>154</v>
      </c>
      <c r="D506" s="19">
        <v>63</v>
      </c>
      <c r="E506" s="19" t="s">
        <v>93</v>
      </c>
      <c r="F506" s="19">
        <v>25.51</v>
      </c>
      <c r="G506" s="19" t="s">
        <v>95</v>
      </c>
      <c r="H506" s="52" t="s">
        <v>25</v>
      </c>
    </row>
    <row r="507" spans="2:8" ht="18.75" x14ac:dyDescent="0.25">
      <c r="B507" s="113"/>
      <c r="C507" s="51" t="s">
        <v>154</v>
      </c>
      <c r="D507" s="19">
        <v>63</v>
      </c>
      <c r="E507" s="19" t="s">
        <v>93</v>
      </c>
      <c r="F507" s="19">
        <v>18.25</v>
      </c>
      <c r="G507" s="19" t="s">
        <v>95</v>
      </c>
      <c r="H507" s="52" t="s">
        <v>25</v>
      </c>
    </row>
    <row r="508" spans="2:8" ht="18.75" x14ac:dyDescent="0.25">
      <c r="B508" s="113"/>
      <c r="C508" s="51" t="s">
        <v>154</v>
      </c>
      <c r="D508" s="19">
        <v>63</v>
      </c>
      <c r="E508" s="19" t="s">
        <v>93</v>
      </c>
      <c r="F508" s="19">
        <v>67.650000000000006</v>
      </c>
      <c r="G508" s="19" t="s">
        <v>95</v>
      </c>
      <c r="H508" s="52" t="s">
        <v>25</v>
      </c>
    </row>
    <row r="509" spans="2:8" ht="18.75" x14ac:dyDescent="0.25">
      <c r="B509" s="113"/>
      <c r="C509" s="51" t="s">
        <v>154</v>
      </c>
      <c r="D509" s="19">
        <v>63</v>
      </c>
      <c r="E509" s="19" t="s">
        <v>93</v>
      </c>
      <c r="F509" s="19">
        <v>183</v>
      </c>
      <c r="G509" s="19" t="s">
        <v>95</v>
      </c>
      <c r="H509" s="52" t="s">
        <v>25</v>
      </c>
    </row>
    <row r="510" spans="2:8" ht="18.75" x14ac:dyDescent="0.25">
      <c r="B510" s="113"/>
      <c r="C510" s="51" t="s">
        <v>154</v>
      </c>
      <c r="D510" s="19">
        <v>63</v>
      </c>
      <c r="E510" s="19" t="s">
        <v>93</v>
      </c>
      <c r="F510" s="19">
        <v>48</v>
      </c>
      <c r="G510" s="19" t="s">
        <v>95</v>
      </c>
      <c r="H510" s="52" t="s">
        <v>25</v>
      </c>
    </row>
    <row r="511" spans="2:8" ht="18.75" x14ac:dyDescent="0.25">
      <c r="B511" s="113"/>
      <c r="C511" s="51" t="s">
        <v>154</v>
      </c>
      <c r="D511" s="19">
        <v>63</v>
      </c>
      <c r="E511" s="19" t="s">
        <v>93</v>
      </c>
      <c r="F511" s="19">
        <v>132</v>
      </c>
      <c r="G511" s="19" t="s">
        <v>95</v>
      </c>
      <c r="H511" s="52" t="s">
        <v>25</v>
      </c>
    </row>
    <row r="512" spans="2:8" ht="18.75" x14ac:dyDescent="0.25">
      <c r="B512" s="113"/>
      <c r="C512" s="51" t="s">
        <v>154</v>
      </c>
      <c r="D512" s="19">
        <v>63</v>
      </c>
      <c r="E512" s="19" t="s">
        <v>93</v>
      </c>
      <c r="F512" s="19">
        <v>48</v>
      </c>
      <c r="G512" s="19" t="s">
        <v>95</v>
      </c>
      <c r="H512" s="52" t="s">
        <v>25</v>
      </c>
    </row>
    <row r="513" spans="2:8" ht="18.75" x14ac:dyDescent="0.25">
      <c r="B513" s="113"/>
      <c r="C513" s="51" t="s">
        <v>154</v>
      </c>
      <c r="D513" s="19">
        <v>63</v>
      </c>
      <c r="E513" s="19" t="s">
        <v>93</v>
      </c>
      <c r="F513" s="19">
        <v>48</v>
      </c>
      <c r="G513" s="19" t="s">
        <v>95</v>
      </c>
      <c r="H513" s="52" t="s">
        <v>25</v>
      </c>
    </row>
    <row r="514" spans="2:8" ht="18.75" x14ac:dyDescent="0.25">
      <c r="B514" s="113"/>
      <c r="C514" s="51" t="s">
        <v>154</v>
      </c>
      <c r="D514" s="19">
        <v>63</v>
      </c>
      <c r="E514" s="19" t="s">
        <v>93</v>
      </c>
      <c r="F514" s="19">
        <v>42</v>
      </c>
      <c r="G514" s="19" t="s">
        <v>95</v>
      </c>
      <c r="H514" s="52" t="s">
        <v>25</v>
      </c>
    </row>
    <row r="515" spans="2:8" ht="18.75" x14ac:dyDescent="0.25">
      <c r="B515" s="113"/>
      <c r="C515" s="51" t="s">
        <v>154</v>
      </c>
      <c r="D515" s="19">
        <v>63</v>
      </c>
      <c r="E515" s="19" t="s">
        <v>93</v>
      </c>
      <c r="F515" s="19">
        <v>39</v>
      </c>
      <c r="G515" s="19" t="s">
        <v>95</v>
      </c>
      <c r="H515" s="52" t="s">
        <v>25</v>
      </c>
    </row>
    <row r="516" spans="2:8" ht="18.75" x14ac:dyDescent="0.25">
      <c r="B516" s="113"/>
      <c r="C516" s="51" t="s">
        <v>154</v>
      </c>
      <c r="D516" s="19">
        <v>63</v>
      </c>
      <c r="E516" s="19" t="s">
        <v>93</v>
      </c>
      <c r="F516" s="19">
        <v>120</v>
      </c>
      <c r="G516" s="19" t="s">
        <v>95</v>
      </c>
      <c r="H516" s="52" t="s">
        <v>25</v>
      </c>
    </row>
    <row r="517" spans="2:8" ht="18.75" x14ac:dyDescent="0.25">
      <c r="B517" s="113"/>
      <c r="C517" s="51" t="s">
        <v>154</v>
      </c>
      <c r="D517" s="19">
        <v>63</v>
      </c>
      <c r="E517" s="19" t="s">
        <v>93</v>
      </c>
      <c r="F517" s="19">
        <v>46</v>
      </c>
      <c r="G517" s="19" t="s">
        <v>95</v>
      </c>
      <c r="H517" s="52" t="s">
        <v>25</v>
      </c>
    </row>
    <row r="518" spans="2:8" ht="18.75" x14ac:dyDescent="0.25">
      <c r="B518" s="113"/>
      <c r="C518" s="51" t="s">
        <v>154</v>
      </c>
      <c r="D518" s="19">
        <v>63</v>
      </c>
      <c r="E518" s="19" t="s">
        <v>93</v>
      </c>
      <c r="F518" s="19">
        <v>111.5</v>
      </c>
      <c r="G518" s="19" t="s">
        <v>95</v>
      </c>
      <c r="H518" s="52" t="s">
        <v>25</v>
      </c>
    </row>
    <row r="519" spans="2:8" ht="18.75" x14ac:dyDescent="0.25">
      <c r="B519" s="113"/>
      <c r="C519" s="51" t="s">
        <v>154</v>
      </c>
      <c r="D519" s="19">
        <v>63</v>
      </c>
      <c r="E519" s="19" t="s">
        <v>93</v>
      </c>
      <c r="F519" s="19">
        <v>39</v>
      </c>
      <c r="G519" s="19" t="s">
        <v>95</v>
      </c>
      <c r="H519" s="52" t="s">
        <v>25</v>
      </c>
    </row>
    <row r="520" spans="2:8" ht="18.75" x14ac:dyDescent="0.25">
      <c r="B520" s="113"/>
      <c r="C520" s="51" t="s">
        <v>154</v>
      </c>
      <c r="D520" s="19">
        <v>63</v>
      </c>
      <c r="E520" s="19" t="s">
        <v>93</v>
      </c>
      <c r="F520" s="19">
        <v>128.5</v>
      </c>
      <c r="G520" s="19" t="s">
        <v>95</v>
      </c>
      <c r="H520" s="52" t="s">
        <v>25</v>
      </c>
    </row>
    <row r="521" spans="2:8" ht="18.75" x14ac:dyDescent="0.25">
      <c r="B521" s="113"/>
      <c r="C521" s="51" t="s">
        <v>154</v>
      </c>
      <c r="D521" s="19">
        <v>63</v>
      </c>
      <c r="E521" s="19" t="s">
        <v>93</v>
      </c>
      <c r="F521" s="19">
        <v>36</v>
      </c>
      <c r="G521" s="19" t="s">
        <v>95</v>
      </c>
      <c r="H521" s="52" t="s">
        <v>25</v>
      </c>
    </row>
    <row r="522" spans="2:8" ht="18.75" x14ac:dyDescent="0.25">
      <c r="B522" s="113"/>
      <c r="C522" s="51" t="s">
        <v>154</v>
      </c>
      <c r="D522" s="19">
        <v>63</v>
      </c>
      <c r="E522" s="19" t="s">
        <v>93</v>
      </c>
      <c r="F522" s="19">
        <v>146</v>
      </c>
      <c r="G522" s="19" t="s">
        <v>95</v>
      </c>
      <c r="H522" s="52" t="s">
        <v>25</v>
      </c>
    </row>
    <row r="523" spans="2:8" ht="18.75" x14ac:dyDescent="0.25">
      <c r="B523" s="113"/>
      <c r="C523" s="51" t="s">
        <v>154</v>
      </c>
      <c r="D523" s="19">
        <v>63</v>
      </c>
      <c r="E523" s="19" t="s">
        <v>93</v>
      </c>
      <c r="F523" s="19">
        <v>45</v>
      </c>
      <c r="G523" s="19" t="s">
        <v>95</v>
      </c>
      <c r="H523" s="52" t="s">
        <v>25</v>
      </c>
    </row>
    <row r="524" spans="2:8" ht="18.75" x14ac:dyDescent="0.25">
      <c r="B524" s="113"/>
      <c r="C524" s="51" t="s">
        <v>154</v>
      </c>
      <c r="D524" s="19">
        <v>63</v>
      </c>
      <c r="E524" s="19" t="s">
        <v>93</v>
      </c>
      <c r="F524" s="19">
        <v>68.5</v>
      </c>
      <c r="G524" s="19" t="s">
        <v>95</v>
      </c>
      <c r="H524" s="52" t="s">
        <v>25</v>
      </c>
    </row>
    <row r="525" spans="2:8" ht="18.75" x14ac:dyDescent="0.25">
      <c r="B525" s="113"/>
      <c r="C525" s="51" t="s">
        <v>154</v>
      </c>
      <c r="D525" s="19">
        <v>63</v>
      </c>
      <c r="E525" s="19" t="s">
        <v>93</v>
      </c>
      <c r="F525" s="19">
        <v>30</v>
      </c>
      <c r="G525" s="19" t="s">
        <v>95</v>
      </c>
      <c r="H525" s="52" t="s">
        <v>25</v>
      </c>
    </row>
    <row r="526" spans="2:8" ht="18.75" x14ac:dyDescent="0.25">
      <c r="B526" s="113"/>
      <c r="C526" s="51" t="s">
        <v>154</v>
      </c>
      <c r="D526" s="19">
        <v>63</v>
      </c>
      <c r="E526" s="19" t="s">
        <v>93</v>
      </c>
      <c r="F526" s="19">
        <v>57.09</v>
      </c>
      <c r="G526" s="19" t="s">
        <v>95</v>
      </c>
      <c r="H526" s="52" t="s">
        <v>25</v>
      </c>
    </row>
    <row r="527" spans="2:8" ht="18.75" x14ac:dyDescent="0.25">
      <c r="B527" s="113"/>
      <c r="C527" s="51" t="s">
        <v>154</v>
      </c>
      <c r="D527" s="19">
        <v>63</v>
      </c>
      <c r="E527" s="19" t="s">
        <v>93</v>
      </c>
      <c r="F527" s="19">
        <v>175</v>
      </c>
      <c r="G527" s="19" t="s">
        <v>95</v>
      </c>
      <c r="H527" s="52" t="s">
        <v>25</v>
      </c>
    </row>
    <row r="528" spans="2:8" ht="18.75" x14ac:dyDescent="0.25">
      <c r="B528" s="113"/>
      <c r="C528" s="51" t="s">
        <v>154</v>
      </c>
      <c r="D528" s="19">
        <v>63</v>
      </c>
      <c r="E528" s="19" t="s">
        <v>93</v>
      </c>
      <c r="F528" s="19">
        <v>81</v>
      </c>
      <c r="G528" s="19" t="s">
        <v>95</v>
      </c>
      <c r="H528" s="52" t="s">
        <v>25</v>
      </c>
    </row>
    <row r="529" spans="2:8" ht="18.75" x14ac:dyDescent="0.25">
      <c r="B529" s="113"/>
      <c r="C529" s="51" t="s">
        <v>154</v>
      </c>
      <c r="D529" s="19">
        <v>63</v>
      </c>
      <c r="E529" s="19" t="s">
        <v>93</v>
      </c>
      <c r="F529" s="19">
        <v>133.5</v>
      </c>
      <c r="G529" s="19" t="s">
        <v>95</v>
      </c>
      <c r="H529" s="52" t="s">
        <v>25</v>
      </c>
    </row>
    <row r="530" spans="2:8" ht="18.75" x14ac:dyDescent="0.25">
      <c r="B530" s="113"/>
      <c r="C530" s="51" t="s">
        <v>154</v>
      </c>
      <c r="D530" s="19">
        <v>63</v>
      </c>
      <c r="E530" s="19" t="s">
        <v>93</v>
      </c>
      <c r="F530" s="19">
        <v>96.38</v>
      </c>
      <c r="G530" s="19" t="s">
        <v>95</v>
      </c>
      <c r="H530" s="52" t="s">
        <v>25</v>
      </c>
    </row>
    <row r="531" spans="2:8" ht="18.75" x14ac:dyDescent="0.25">
      <c r="B531" s="113"/>
      <c r="C531" s="51" t="s">
        <v>154</v>
      </c>
      <c r="D531" s="19">
        <v>63</v>
      </c>
      <c r="E531" s="19" t="s">
        <v>93</v>
      </c>
      <c r="F531" s="19">
        <v>333</v>
      </c>
      <c r="G531" s="19" t="s">
        <v>95</v>
      </c>
      <c r="H531" s="52" t="s">
        <v>25</v>
      </c>
    </row>
    <row r="532" spans="2:8" ht="18.75" x14ac:dyDescent="0.25">
      <c r="B532" s="113"/>
      <c r="C532" s="51" t="s">
        <v>154</v>
      </c>
      <c r="D532" s="19">
        <v>63</v>
      </c>
      <c r="E532" s="19" t="s">
        <v>93</v>
      </c>
      <c r="F532" s="19">
        <v>53.5</v>
      </c>
      <c r="G532" s="19" t="s">
        <v>95</v>
      </c>
      <c r="H532" s="52" t="s">
        <v>25</v>
      </c>
    </row>
    <row r="533" spans="2:8" ht="18.75" x14ac:dyDescent="0.25">
      <c r="B533" s="113"/>
      <c r="C533" s="51" t="s">
        <v>154</v>
      </c>
      <c r="D533" s="19">
        <v>63</v>
      </c>
      <c r="E533" s="19" t="s">
        <v>93</v>
      </c>
      <c r="F533" s="19">
        <v>49</v>
      </c>
      <c r="G533" s="19" t="s">
        <v>95</v>
      </c>
      <c r="H533" s="52" t="s">
        <v>25</v>
      </c>
    </row>
    <row r="534" spans="2:8" ht="18.75" x14ac:dyDescent="0.25">
      <c r="B534" s="113"/>
      <c r="C534" s="51" t="s">
        <v>154</v>
      </c>
      <c r="D534" s="19">
        <v>63</v>
      </c>
      <c r="E534" s="19" t="s">
        <v>93</v>
      </c>
      <c r="F534" s="19">
        <v>69.95</v>
      </c>
      <c r="G534" s="19" t="s">
        <v>95</v>
      </c>
      <c r="H534" s="52" t="s">
        <v>25</v>
      </c>
    </row>
    <row r="535" spans="2:8" ht="18.75" x14ac:dyDescent="0.25">
      <c r="B535" s="113"/>
      <c r="C535" s="51" t="s">
        <v>154</v>
      </c>
      <c r="D535" s="19">
        <v>63</v>
      </c>
      <c r="E535" s="19" t="s">
        <v>93</v>
      </c>
      <c r="F535" s="19">
        <v>89.84</v>
      </c>
      <c r="G535" s="19" t="s">
        <v>95</v>
      </c>
      <c r="H535" s="52" t="s">
        <v>25</v>
      </c>
    </row>
    <row r="536" spans="2:8" ht="18.75" x14ac:dyDescent="0.25">
      <c r="B536" s="113"/>
      <c r="C536" s="51" t="s">
        <v>154</v>
      </c>
      <c r="D536" s="19">
        <v>63</v>
      </c>
      <c r="E536" s="19" t="s">
        <v>93</v>
      </c>
      <c r="F536" s="19">
        <v>68.2</v>
      </c>
      <c r="G536" s="19" t="s">
        <v>95</v>
      </c>
      <c r="H536" s="52" t="s">
        <v>25</v>
      </c>
    </row>
    <row r="537" spans="2:8" ht="18.75" x14ac:dyDescent="0.25">
      <c r="B537" s="113"/>
      <c r="C537" s="51" t="s">
        <v>154</v>
      </c>
      <c r="D537" s="19">
        <v>63</v>
      </c>
      <c r="E537" s="19" t="s">
        <v>93</v>
      </c>
      <c r="F537" s="19">
        <v>61.96</v>
      </c>
      <c r="G537" s="19" t="s">
        <v>95</v>
      </c>
      <c r="H537" s="52" t="s">
        <v>25</v>
      </c>
    </row>
    <row r="538" spans="2:8" ht="18.75" x14ac:dyDescent="0.25">
      <c r="B538" s="113"/>
      <c r="C538" s="51" t="s">
        <v>154</v>
      </c>
      <c r="D538" s="19">
        <v>63</v>
      </c>
      <c r="E538" s="19" t="s">
        <v>93</v>
      </c>
      <c r="F538" s="19">
        <v>76.27</v>
      </c>
      <c r="G538" s="19" t="s">
        <v>95</v>
      </c>
      <c r="H538" s="52" t="s">
        <v>25</v>
      </c>
    </row>
    <row r="539" spans="2:8" ht="18.75" x14ac:dyDescent="0.25">
      <c r="B539" s="113"/>
      <c r="C539" s="51" t="s">
        <v>154</v>
      </c>
      <c r="D539" s="19">
        <v>63</v>
      </c>
      <c r="E539" s="19" t="s">
        <v>93</v>
      </c>
      <c r="F539" s="19">
        <v>26.54</v>
      </c>
      <c r="G539" s="19" t="s">
        <v>95</v>
      </c>
      <c r="H539" s="52" t="s">
        <v>25</v>
      </c>
    </row>
    <row r="540" spans="2:8" ht="18.75" x14ac:dyDescent="0.25">
      <c r="B540" s="113"/>
      <c r="C540" s="51" t="s">
        <v>154</v>
      </c>
      <c r="D540" s="19">
        <v>63</v>
      </c>
      <c r="E540" s="19" t="s">
        <v>93</v>
      </c>
      <c r="F540" s="19">
        <v>76.16</v>
      </c>
      <c r="G540" s="19" t="s">
        <v>95</v>
      </c>
      <c r="H540" s="52" t="s">
        <v>25</v>
      </c>
    </row>
    <row r="541" spans="2:8" ht="18.75" x14ac:dyDescent="0.25">
      <c r="B541" s="113"/>
      <c r="C541" s="51" t="s">
        <v>154</v>
      </c>
      <c r="D541" s="19">
        <v>63</v>
      </c>
      <c r="E541" s="19" t="s">
        <v>93</v>
      </c>
      <c r="F541" s="19">
        <v>79.91</v>
      </c>
      <c r="G541" s="19" t="s">
        <v>95</v>
      </c>
      <c r="H541" s="52" t="s">
        <v>25</v>
      </c>
    </row>
    <row r="542" spans="2:8" ht="18.75" x14ac:dyDescent="0.25">
      <c r="B542" s="113"/>
      <c r="C542" s="51" t="s">
        <v>154</v>
      </c>
      <c r="D542" s="19">
        <v>63</v>
      </c>
      <c r="E542" s="19" t="s">
        <v>93</v>
      </c>
      <c r="F542" s="19">
        <v>91.33</v>
      </c>
      <c r="G542" s="19" t="s">
        <v>95</v>
      </c>
      <c r="H542" s="52" t="s">
        <v>25</v>
      </c>
    </row>
    <row r="543" spans="2:8" ht="18.75" x14ac:dyDescent="0.25">
      <c r="B543" s="113"/>
      <c r="C543" s="51" t="s">
        <v>154</v>
      </c>
      <c r="D543" s="19">
        <v>63</v>
      </c>
      <c r="E543" s="19" t="s">
        <v>93</v>
      </c>
      <c r="F543" s="19">
        <v>66.260000000000005</v>
      </c>
      <c r="G543" s="19" t="s">
        <v>95</v>
      </c>
      <c r="H543" s="52" t="s">
        <v>25</v>
      </c>
    </row>
    <row r="544" spans="2:8" ht="18.75" x14ac:dyDescent="0.25">
      <c r="B544" s="113"/>
      <c r="C544" s="51" t="s">
        <v>154</v>
      </c>
      <c r="D544" s="19">
        <v>63</v>
      </c>
      <c r="E544" s="19" t="s">
        <v>93</v>
      </c>
      <c r="F544" s="19">
        <v>80.400000000000006</v>
      </c>
      <c r="G544" s="19" t="s">
        <v>95</v>
      </c>
      <c r="H544" s="52" t="s">
        <v>25</v>
      </c>
    </row>
    <row r="545" spans="2:8" ht="18.75" x14ac:dyDescent="0.25">
      <c r="B545" s="113"/>
      <c r="C545" s="51" t="s">
        <v>154</v>
      </c>
      <c r="D545" s="19">
        <v>63</v>
      </c>
      <c r="E545" s="19" t="s">
        <v>93</v>
      </c>
      <c r="F545" s="19">
        <v>65</v>
      </c>
      <c r="G545" s="19" t="s">
        <v>95</v>
      </c>
      <c r="H545" s="52" t="s">
        <v>25</v>
      </c>
    </row>
    <row r="546" spans="2:8" ht="18.75" x14ac:dyDescent="0.25">
      <c r="B546" s="113"/>
      <c r="C546" s="51" t="s">
        <v>154</v>
      </c>
      <c r="D546" s="19">
        <v>63</v>
      </c>
      <c r="E546" s="19" t="s">
        <v>93</v>
      </c>
      <c r="F546" s="19">
        <v>60.99</v>
      </c>
      <c r="G546" s="19" t="s">
        <v>95</v>
      </c>
      <c r="H546" s="52" t="s">
        <v>25</v>
      </c>
    </row>
    <row r="547" spans="2:8" ht="18.75" x14ac:dyDescent="0.25">
      <c r="B547" s="113"/>
      <c r="C547" s="51" t="s">
        <v>154</v>
      </c>
      <c r="D547" s="19">
        <v>63</v>
      </c>
      <c r="E547" s="19" t="s">
        <v>93</v>
      </c>
      <c r="F547" s="19">
        <v>40.44</v>
      </c>
      <c r="G547" s="19" t="s">
        <v>95</v>
      </c>
      <c r="H547" s="52" t="s">
        <v>25</v>
      </c>
    </row>
    <row r="548" spans="2:8" ht="18.75" x14ac:dyDescent="0.25">
      <c r="B548" s="113"/>
      <c r="C548" s="51" t="s">
        <v>154</v>
      </c>
      <c r="D548" s="19">
        <v>75</v>
      </c>
      <c r="E548" s="19" t="s">
        <v>93</v>
      </c>
      <c r="F548" s="19">
        <v>92</v>
      </c>
      <c r="G548" s="19" t="s">
        <v>95</v>
      </c>
      <c r="H548" s="52" t="s">
        <v>25</v>
      </c>
    </row>
    <row r="549" spans="2:8" ht="18.75" x14ac:dyDescent="0.25">
      <c r="B549" s="113"/>
      <c r="C549" s="51" t="s">
        <v>154</v>
      </c>
      <c r="D549" s="19">
        <v>75</v>
      </c>
      <c r="E549" s="19" t="s">
        <v>93</v>
      </c>
      <c r="F549" s="19">
        <v>42</v>
      </c>
      <c r="G549" s="19" t="s">
        <v>95</v>
      </c>
      <c r="H549" s="52" t="s">
        <v>25</v>
      </c>
    </row>
    <row r="550" spans="2:8" ht="18.75" x14ac:dyDescent="0.25">
      <c r="B550" s="113"/>
      <c r="C550" s="51" t="s">
        <v>154</v>
      </c>
      <c r="D550" s="19">
        <v>75</v>
      </c>
      <c r="E550" s="19" t="s">
        <v>93</v>
      </c>
      <c r="F550" s="19">
        <v>82</v>
      </c>
      <c r="G550" s="19" t="s">
        <v>95</v>
      </c>
      <c r="H550" s="52" t="s">
        <v>25</v>
      </c>
    </row>
    <row r="551" spans="2:8" ht="18.75" x14ac:dyDescent="0.25">
      <c r="B551" s="113"/>
      <c r="C551" s="51" t="s">
        <v>154</v>
      </c>
      <c r="D551" s="19">
        <v>75</v>
      </c>
      <c r="E551" s="19" t="s">
        <v>93</v>
      </c>
      <c r="F551" s="19">
        <v>60</v>
      </c>
      <c r="G551" s="19" t="s">
        <v>95</v>
      </c>
      <c r="H551" s="52" t="s">
        <v>25</v>
      </c>
    </row>
    <row r="552" spans="2:8" ht="18.75" x14ac:dyDescent="0.25">
      <c r="B552" s="113"/>
      <c r="C552" s="51" t="s">
        <v>154</v>
      </c>
      <c r="D552" s="19">
        <v>75</v>
      </c>
      <c r="E552" s="19" t="s">
        <v>93</v>
      </c>
      <c r="F552" s="19">
        <v>520</v>
      </c>
      <c r="G552" s="19" t="s">
        <v>95</v>
      </c>
      <c r="H552" s="52" t="s">
        <v>25</v>
      </c>
    </row>
    <row r="553" spans="2:8" ht="18.75" x14ac:dyDescent="0.25">
      <c r="B553" s="113"/>
      <c r="C553" s="51" t="s">
        <v>154</v>
      </c>
      <c r="D553" s="19">
        <v>75</v>
      </c>
      <c r="E553" s="19" t="s">
        <v>93</v>
      </c>
      <c r="F553" s="19">
        <v>46</v>
      </c>
      <c r="G553" s="19" t="s">
        <v>95</v>
      </c>
      <c r="H553" s="52" t="s">
        <v>25</v>
      </c>
    </row>
    <row r="554" spans="2:8" ht="18.75" x14ac:dyDescent="0.25">
      <c r="B554" s="113"/>
      <c r="C554" s="51" t="s">
        <v>154</v>
      </c>
      <c r="D554" s="19">
        <v>75</v>
      </c>
      <c r="E554" s="19" t="s">
        <v>93</v>
      </c>
      <c r="F554" s="19">
        <v>45</v>
      </c>
      <c r="G554" s="19" t="s">
        <v>95</v>
      </c>
      <c r="H554" s="52" t="s">
        <v>25</v>
      </c>
    </row>
    <row r="555" spans="2:8" ht="18.75" x14ac:dyDescent="0.25">
      <c r="B555" s="113"/>
      <c r="C555" s="51" t="s">
        <v>154</v>
      </c>
      <c r="D555" s="19">
        <v>250</v>
      </c>
      <c r="E555" s="19" t="s">
        <v>93</v>
      </c>
      <c r="F555" s="19">
        <v>560</v>
      </c>
      <c r="G555" s="19" t="s">
        <v>95</v>
      </c>
      <c r="H555" s="52" t="s">
        <v>25</v>
      </c>
    </row>
    <row r="556" spans="2:8" ht="18.75" x14ac:dyDescent="0.25">
      <c r="B556" s="113"/>
      <c r="C556" s="51" t="s">
        <v>154</v>
      </c>
      <c r="D556" s="19">
        <v>160</v>
      </c>
      <c r="E556" s="19" t="s">
        <v>93</v>
      </c>
      <c r="F556" s="19">
        <v>880</v>
      </c>
      <c r="G556" s="19" t="s">
        <v>95</v>
      </c>
      <c r="H556" s="52" t="s">
        <v>25</v>
      </c>
    </row>
    <row r="557" spans="2:8" ht="18.75" x14ac:dyDescent="0.25">
      <c r="B557" s="113"/>
      <c r="C557" s="51" t="s">
        <v>154</v>
      </c>
      <c r="D557" s="19">
        <v>110</v>
      </c>
      <c r="E557" s="19" t="s">
        <v>93</v>
      </c>
      <c r="F557" s="19">
        <v>700</v>
      </c>
      <c r="G557" s="19" t="s">
        <v>95</v>
      </c>
      <c r="H557" s="52" t="s">
        <v>25</v>
      </c>
    </row>
    <row r="558" spans="2:8" ht="18.75" x14ac:dyDescent="0.25">
      <c r="B558" s="113"/>
      <c r="C558" s="51" t="s">
        <v>154</v>
      </c>
      <c r="D558" s="19">
        <v>90</v>
      </c>
      <c r="E558" s="19" t="s">
        <v>93</v>
      </c>
      <c r="F558" s="19">
        <v>5047</v>
      </c>
      <c r="G558" s="19" t="s">
        <v>95</v>
      </c>
      <c r="H558" s="52" t="s">
        <v>25</v>
      </c>
    </row>
    <row r="559" spans="2:8" ht="18.75" x14ac:dyDescent="0.25">
      <c r="B559" s="113"/>
      <c r="C559" s="51" t="s">
        <v>154</v>
      </c>
      <c r="D559" s="19">
        <v>75</v>
      </c>
      <c r="E559" s="19" t="s">
        <v>93</v>
      </c>
      <c r="F559" s="19">
        <v>1656</v>
      </c>
      <c r="G559" s="19" t="s">
        <v>95</v>
      </c>
      <c r="H559" s="52" t="s">
        <v>25</v>
      </c>
    </row>
    <row r="560" spans="2:8" ht="18.75" x14ac:dyDescent="0.25">
      <c r="B560" s="113"/>
      <c r="C560" s="51" t="s">
        <v>154</v>
      </c>
      <c r="D560" s="19">
        <v>63</v>
      </c>
      <c r="E560" s="19" t="s">
        <v>93</v>
      </c>
      <c r="F560" s="19">
        <v>40087</v>
      </c>
      <c r="G560" s="19" t="s">
        <v>95</v>
      </c>
      <c r="H560" s="52" t="s">
        <v>25</v>
      </c>
    </row>
    <row r="561" spans="2:8" ht="18.75" x14ac:dyDescent="0.25">
      <c r="B561" s="113"/>
      <c r="C561" s="51" t="s">
        <v>154</v>
      </c>
      <c r="D561" s="19">
        <v>110</v>
      </c>
      <c r="E561" s="19" t="s">
        <v>93</v>
      </c>
      <c r="F561" s="19">
        <v>430</v>
      </c>
      <c r="G561" s="19" t="s">
        <v>95</v>
      </c>
      <c r="H561" s="52" t="s">
        <v>25</v>
      </c>
    </row>
    <row r="562" spans="2:8" ht="18.75" x14ac:dyDescent="0.25">
      <c r="B562" s="113"/>
      <c r="C562" s="51" t="s">
        <v>154</v>
      </c>
      <c r="D562" s="19">
        <v>90</v>
      </c>
      <c r="E562" s="19" t="s">
        <v>93</v>
      </c>
      <c r="F562" s="19">
        <v>900</v>
      </c>
      <c r="G562" s="19" t="s">
        <v>95</v>
      </c>
      <c r="H562" s="52" t="s">
        <v>25</v>
      </c>
    </row>
    <row r="563" spans="2:8" ht="18.75" x14ac:dyDescent="0.25">
      <c r="B563" s="113"/>
      <c r="C563" s="51" t="s">
        <v>154</v>
      </c>
      <c r="D563" s="19">
        <v>75</v>
      </c>
      <c r="E563" s="19" t="s">
        <v>93</v>
      </c>
      <c r="F563" s="19">
        <v>420</v>
      </c>
      <c r="G563" s="19" t="s">
        <v>95</v>
      </c>
      <c r="H563" s="52" t="s">
        <v>25</v>
      </c>
    </row>
    <row r="564" spans="2:8" ht="19.5" thickBot="1" x14ac:dyDescent="0.3">
      <c r="B564" s="114"/>
      <c r="C564" s="53" t="s">
        <v>154</v>
      </c>
      <c r="D564" s="20">
        <v>50</v>
      </c>
      <c r="E564" s="20" t="s">
        <v>94</v>
      </c>
      <c r="F564" s="20">
        <v>5000</v>
      </c>
      <c r="G564" s="20" t="s">
        <v>95</v>
      </c>
      <c r="H564" s="54" t="s">
        <v>25</v>
      </c>
    </row>
    <row r="565" spans="2:8" ht="18.75" x14ac:dyDescent="0.25">
      <c r="B565" s="108" t="s">
        <v>85</v>
      </c>
      <c r="C565" s="51" t="s">
        <v>154</v>
      </c>
      <c r="D565" s="19">
        <v>63</v>
      </c>
      <c r="E565" s="19" t="s">
        <v>93</v>
      </c>
      <c r="F565" s="19">
        <v>372</v>
      </c>
      <c r="G565" s="19" t="s">
        <v>95</v>
      </c>
      <c r="H565" s="52" t="s">
        <v>25</v>
      </c>
    </row>
    <row r="566" spans="2:8" ht="18.75" x14ac:dyDescent="0.25">
      <c r="B566" s="109"/>
      <c r="C566" s="51" t="s">
        <v>154</v>
      </c>
      <c r="D566" s="19">
        <v>63</v>
      </c>
      <c r="E566" s="19" t="s">
        <v>93</v>
      </c>
      <c r="F566" s="19">
        <v>130</v>
      </c>
      <c r="G566" s="19" t="s">
        <v>95</v>
      </c>
      <c r="H566" s="52" t="s">
        <v>25</v>
      </c>
    </row>
    <row r="567" spans="2:8" ht="18.75" x14ac:dyDescent="0.25">
      <c r="B567" s="109"/>
      <c r="C567" s="51" t="s">
        <v>154</v>
      </c>
      <c r="D567" s="19">
        <v>75</v>
      </c>
      <c r="E567" s="19" t="s">
        <v>93</v>
      </c>
      <c r="F567" s="19">
        <v>402</v>
      </c>
      <c r="G567" s="19" t="s">
        <v>95</v>
      </c>
      <c r="H567" s="52" t="s">
        <v>25</v>
      </c>
    </row>
    <row r="568" spans="2:8" ht="18.75" x14ac:dyDescent="0.25">
      <c r="B568" s="109"/>
      <c r="C568" s="51" t="s">
        <v>154</v>
      </c>
      <c r="D568" s="19">
        <v>140</v>
      </c>
      <c r="E568" s="19" t="s">
        <v>93</v>
      </c>
      <c r="F568" s="19">
        <v>2502</v>
      </c>
      <c r="G568" s="19" t="s">
        <v>95</v>
      </c>
      <c r="H568" s="52" t="s">
        <v>25</v>
      </c>
    </row>
    <row r="569" spans="2:8" ht="18.75" x14ac:dyDescent="0.25">
      <c r="B569" s="109"/>
      <c r="C569" s="51" t="s">
        <v>154</v>
      </c>
      <c r="D569" s="19">
        <v>125</v>
      </c>
      <c r="E569" s="19" t="s">
        <v>93</v>
      </c>
      <c r="F569" s="19">
        <v>153</v>
      </c>
      <c r="G569" s="19" t="s">
        <v>95</v>
      </c>
      <c r="H569" s="52" t="s">
        <v>25</v>
      </c>
    </row>
    <row r="570" spans="2:8" ht="18.75" x14ac:dyDescent="0.25">
      <c r="B570" s="109"/>
      <c r="C570" s="51" t="s">
        <v>154</v>
      </c>
      <c r="D570" s="19">
        <v>110</v>
      </c>
      <c r="E570" s="19" t="s">
        <v>93</v>
      </c>
      <c r="F570" s="19">
        <v>120</v>
      </c>
      <c r="G570" s="19" t="s">
        <v>95</v>
      </c>
      <c r="H570" s="52" t="s">
        <v>25</v>
      </c>
    </row>
    <row r="571" spans="2:8" ht="18.75" x14ac:dyDescent="0.25">
      <c r="B571" s="109"/>
      <c r="C571" s="51" t="s">
        <v>154</v>
      </c>
      <c r="D571" s="19">
        <v>90</v>
      </c>
      <c r="E571" s="19" t="s">
        <v>93</v>
      </c>
      <c r="F571" s="19">
        <v>697</v>
      </c>
      <c r="G571" s="19" t="s">
        <v>95</v>
      </c>
      <c r="H571" s="52" t="s">
        <v>25</v>
      </c>
    </row>
    <row r="572" spans="2:8" ht="18.75" x14ac:dyDescent="0.25">
      <c r="B572" s="109"/>
      <c r="C572" s="51" t="s">
        <v>154</v>
      </c>
      <c r="D572" s="19">
        <v>75</v>
      </c>
      <c r="E572" s="19" t="s">
        <v>93</v>
      </c>
      <c r="F572" s="19">
        <v>6295</v>
      </c>
      <c r="G572" s="19" t="s">
        <v>95</v>
      </c>
      <c r="H572" s="52" t="s">
        <v>25</v>
      </c>
    </row>
    <row r="573" spans="2:8" ht="18.75" x14ac:dyDescent="0.25">
      <c r="B573" s="109"/>
      <c r="C573" s="51" t="s">
        <v>154</v>
      </c>
      <c r="D573" s="19">
        <v>63</v>
      </c>
      <c r="E573" s="19" t="s">
        <v>93</v>
      </c>
      <c r="F573" s="19">
        <v>19701</v>
      </c>
      <c r="G573" s="19" t="s">
        <v>95</v>
      </c>
      <c r="H573" s="52" t="s">
        <v>25</v>
      </c>
    </row>
    <row r="574" spans="2:8" ht="18.75" x14ac:dyDescent="0.25">
      <c r="B574" s="109"/>
      <c r="C574" s="51" t="s">
        <v>154</v>
      </c>
      <c r="D574" s="19">
        <v>100</v>
      </c>
      <c r="E574" s="19" t="s">
        <v>96</v>
      </c>
      <c r="F574" s="19">
        <v>3659</v>
      </c>
      <c r="G574" s="19" t="s">
        <v>95</v>
      </c>
      <c r="H574" s="52" t="s">
        <v>25</v>
      </c>
    </row>
    <row r="575" spans="2:8" ht="18.75" x14ac:dyDescent="0.25">
      <c r="B575" s="109"/>
      <c r="C575" s="51" t="s">
        <v>154</v>
      </c>
      <c r="D575" s="19">
        <v>150</v>
      </c>
      <c r="E575" s="19" t="s">
        <v>96</v>
      </c>
      <c r="F575" s="19">
        <v>2321</v>
      </c>
      <c r="G575" s="19" t="s">
        <v>95</v>
      </c>
      <c r="H575" s="52" t="s">
        <v>25</v>
      </c>
    </row>
    <row r="576" spans="2:8" ht="18.75" x14ac:dyDescent="0.25">
      <c r="B576" s="109"/>
      <c r="C576" s="51" t="s">
        <v>154</v>
      </c>
      <c r="D576" s="19">
        <v>80</v>
      </c>
      <c r="E576" s="19" t="s">
        <v>96</v>
      </c>
      <c r="F576" s="19">
        <v>200</v>
      </c>
      <c r="G576" s="19" t="s">
        <v>95</v>
      </c>
      <c r="H576" s="52" t="s">
        <v>25</v>
      </c>
    </row>
    <row r="577" spans="2:8" ht="18.75" x14ac:dyDescent="0.25">
      <c r="B577" s="109"/>
      <c r="C577" s="51" t="s">
        <v>154</v>
      </c>
      <c r="D577" s="19">
        <v>150</v>
      </c>
      <c r="E577" s="19" t="s">
        <v>96</v>
      </c>
      <c r="F577" s="19">
        <v>1040</v>
      </c>
      <c r="G577" s="19" t="s">
        <v>95</v>
      </c>
      <c r="H577" s="52" t="s">
        <v>25</v>
      </c>
    </row>
    <row r="578" spans="2:8" ht="18.75" x14ac:dyDescent="0.25">
      <c r="B578" s="109"/>
      <c r="C578" s="51" t="s">
        <v>154</v>
      </c>
      <c r="D578" s="19">
        <v>160</v>
      </c>
      <c r="E578" s="19" t="s">
        <v>93</v>
      </c>
      <c r="F578" s="19">
        <v>2036</v>
      </c>
      <c r="G578" s="19" t="s">
        <v>95</v>
      </c>
      <c r="H578" s="52" t="s">
        <v>25</v>
      </c>
    </row>
    <row r="579" spans="2:8" ht="18.75" x14ac:dyDescent="0.25">
      <c r="B579" s="109"/>
      <c r="C579" s="51" t="s">
        <v>154</v>
      </c>
      <c r="D579" s="19">
        <v>140</v>
      </c>
      <c r="E579" s="19" t="s">
        <v>93</v>
      </c>
      <c r="F579" s="19">
        <v>4885</v>
      </c>
      <c r="G579" s="19" t="s">
        <v>95</v>
      </c>
      <c r="H579" s="52" t="s">
        <v>25</v>
      </c>
    </row>
    <row r="580" spans="2:8" ht="18.75" x14ac:dyDescent="0.25">
      <c r="B580" s="109"/>
      <c r="C580" s="51" t="s">
        <v>154</v>
      </c>
      <c r="D580" s="19">
        <v>160</v>
      </c>
      <c r="E580" s="19" t="s">
        <v>93</v>
      </c>
      <c r="F580" s="19">
        <v>681</v>
      </c>
      <c r="G580" s="19" t="s">
        <v>95</v>
      </c>
      <c r="H580" s="52" t="s">
        <v>25</v>
      </c>
    </row>
    <row r="581" spans="2:8" ht="18.75" x14ac:dyDescent="0.25">
      <c r="B581" s="109"/>
      <c r="C581" s="51" t="s">
        <v>154</v>
      </c>
      <c r="D581" s="19">
        <v>125</v>
      </c>
      <c r="E581" s="19" t="s">
        <v>93</v>
      </c>
      <c r="F581" s="19">
        <v>1404</v>
      </c>
      <c r="G581" s="19" t="s">
        <v>95</v>
      </c>
      <c r="H581" s="52" t="s">
        <v>25</v>
      </c>
    </row>
    <row r="582" spans="2:8" ht="18.75" x14ac:dyDescent="0.25">
      <c r="B582" s="109"/>
      <c r="C582" s="51" t="s">
        <v>154</v>
      </c>
      <c r="D582" s="19">
        <v>110</v>
      </c>
      <c r="E582" s="19" t="s">
        <v>93</v>
      </c>
      <c r="F582" s="19">
        <v>961</v>
      </c>
      <c r="G582" s="19" t="s">
        <v>95</v>
      </c>
      <c r="H582" s="52" t="s">
        <v>25</v>
      </c>
    </row>
    <row r="583" spans="2:8" ht="18.75" x14ac:dyDescent="0.25">
      <c r="B583" s="109"/>
      <c r="C583" s="51" t="s">
        <v>154</v>
      </c>
      <c r="D583" s="19">
        <v>75</v>
      </c>
      <c r="E583" s="19" t="s">
        <v>94</v>
      </c>
      <c r="F583" s="19">
        <v>2543</v>
      </c>
      <c r="G583" s="19" t="s">
        <v>95</v>
      </c>
      <c r="H583" s="52" t="s">
        <v>25</v>
      </c>
    </row>
    <row r="584" spans="2:8" ht="18.75" x14ac:dyDescent="0.25">
      <c r="B584" s="109"/>
      <c r="C584" s="51" t="s">
        <v>154</v>
      </c>
      <c r="D584" s="19">
        <v>63</v>
      </c>
      <c r="E584" s="19" t="s">
        <v>94</v>
      </c>
      <c r="F584" s="19">
        <v>2227</v>
      </c>
      <c r="G584" s="19" t="s">
        <v>95</v>
      </c>
      <c r="H584" s="52" t="s">
        <v>25</v>
      </c>
    </row>
    <row r="585" spans="2:8" ht="18.75" x14ac:dyDescent="0.25">
      <c r="B585" s="109"/>
      <c r="C585" s="51" t="s">
        <v>154</v>
      </c>
      <c r="D585" s="19">
        <v>90</v>
      </c>
      <c r="E585" s="19" t="s">
        <v>94</v>
      </c>
      <c r="F585" s="19">
        <v>3399</v>
      </c>
      <c r="G585" s="19" t="s">
        <v>95</v>
      </c>
      <c r="H585" s="52" t="s">
        <v>25</v>
      </c>
    </row>
    <row r="586" spans="2:8" ht="18.75" x14ac:dyDescent="0.25">
      <c r="B586" s="109"/>
      <c r="C586" s="51" t="s">
        <v>223</v>
      </c>
      <c r="D586" s="19">
        <v>63</v>
      </c>
      <c r="E586" s="19" t="s">
        <v>94</v>
      </c>
      <c r="F586" s="19">
        <v>190</v>
      </c>
      <c r="G586" s="19" t="s">
        <v>95</v>
      </c>
      <c r="H586" s="52" t="s">
        <v>25</v>
      </c>
    </row>
    <row r="587" spans="2:8" ht="19.5" thickBot="1" x14ac:dyDescent="0.3">
      <c r="B587" s="110"/>
      <c r="C587" s="53" t="s">
        <v>223</v>
      </c>
      <c r="D587" s="20">
        <v>63</v>
      </c>
      <c r="E587" s="20" t="s">
        <v>94</v>
      </c>
      <c r="F587" s="20">
        <v>10</v>
      </c>
      <c r="G587" s="20" t="s">
        <v>95</v>
      </c>
      <c r="H587" s="54" t="s">
        <v>25</v>
      </c>
    </row>
    <row r="588" spans="2:8" ht="18.75" x14ac:dyDescent="0.25">
      <c r="B588" s="108" t="s">
        <v>40</v>
      </c>
      <c r="C588" s="49" t="s">
        <v>107</v>
      </c>
      <c r="D588" s="18">
        <v>63</v>
      </c>
      <c r="E588" s="18" t="s">
        <v>94</v>
      </c>
      <c r="F588" s="18">
        <v>260</v>
      </c>
      <c r="G588" s="18" t="s">
        <v>95</v>
      </c>
      <c r="H588" s="50" t="s">
        <v>25</v>
      </c>
    </row>
    <row r="589" spans="2:8" ht="18.75" x14ac:dyDescent="0.25">
      <c r="B589" s="109"/>
      <c r="C589" s="51" t="s">
        <v>107</v>
      </c>
      <c r="D589" s="19">
        <v>63</v>
      </c>
      <c r="E589" s="19" t="s">
        <v>94</v>
      </c>
      <c r="F589" s="19">
        <v>12000</v>
      </c>
      <c r="G589" s="19" t="s">
        <v>95</v>
      </c>
      <c r="H589" s="52" t="s">
        <v>25</v>
      </c>
    </row>
    <row r="590" spans="2:8" ht="18.75" x14ac:dyDescent="0.25">
      <c r="B590" s="109"/>
      <c r="C590" s="51" t="s">
        <v>107</v>
      </c>
      <c r="D590" s="19">
        <v>63</v>
      </c>
      <c r="E590" s="19" t="s">
        <v>222</v>
      </c>
      <c r="F590" s="19">
        <v>693</v>
      </c>
      <c r="G590" s="19" t="s">
        <v>95</v>
      </c>
      <c r="H590" s="52" t="s">
        <v>25</v>
      </c>
    </row>
    <row r="591" spans="2:8" ht="18.75" x14ac:dyDescent="0.25">
      <c r="B591" s="109"/>
      <c r="C591" s="51" t="s">
        <v>107</v>
      </c>
      <c r="D591" s="19">
        <v>63</v>
      </c>
      <c r="E591" s="19" t="s">
        <v>222</v>
      </c>
      <c r="F591" s="19">
        <v>72</v>
      </c>
      <c r="G591" s="19" t="s">
        <v>95</v>
      </c>
      <c r="H591" s="52" t="s">
        <v>25</v>
      </c>
    </row>
    <row r="592" spans="2:8" ht="18.75" x14ac:dyDescent="0.25">
      <c r="B592" s="109"/>
      <c r="C592" s="51" t="s">
        <v>107</v>
      </c>
      <c r="D592" s="19">
        <v>63</v>
      </c>
      <c r="E592" s="19" t="s">
        <v>222</v>
      </c>
      <c r="F592" s="19">
        <v>54</v>
      </c>
      <c r="G592" s="19" t="s">
        <v>95</v>
      </c>
      <c r="H592" s="52" t="s">
        <v>25</v>
      </c>
    </row>
    <row r="593" spans="2:8" ht="18.75" x14ac:dyDescent="0.25">
      <c r="B593" s="109"/>
      <c r="C593" s="51" t="s">
        <v>107</v>
      </c>
      <c r="D593" s="19">
        <v>63</v>
      </c>
      <c r="E593" s="19" t="s">
        <v>222</v>
      </c>
      <c r="F593" s="19">
        <v>70</v>
      </c>
      <c r="G593" s="19" t="s">
        <v>95</v>
      </c>
      <c r="H593" s="52" t="s">
        <v>25</v>
      </c>
    </row>
    <row r="594" spans="2:8" ht="18.75" x14ac:dyDescent="0.25">
      <c r="B594" s="109"/>
      <c r="C594" s="51" t="s">
        <v>107</v>
      </c>
      <c r="D594" s="19">
        <v>63</v>
      </c>
      <c r="E594" s="19" t="s">
        <v>222</v>
      </c>
      <c r="F594" s="19">
        <v>491</v>
      </c>
      <c r="G594" s="19" t="s">
        <v>95</v>
      </c>
      <c r="H594" s="52" t="s">
        <v>25</v>
      </c>
    </row>
    <row r="595" spans="2:8" ht="18.75" x14ac:dyDescent="0.25">
      <c r="B595" s="109"/>
      <c r="C595" s="51" t="s">
        <v>107</v>
      </c>
      <c r="D595" s="19">
        <v>63</v>
      </c>
      <c r="E595" s="19" t="s">
        <v>222</v>
      </c>
      <c r="F595" s="19">
        <v>45</v>
      </c>
      <c r="G595" s="19" t="s">
        <v>95</v>
      </c>
      <c r="H595" s="52" t="s">
        <v>25</v>
      </c>
    </row>
    <row r="596" spans="2:8" ht="18.75" x14ac:dyDescent="0.25">
      <c r="B596" s="109"/>
      <c r="C596" s="51" t="s">
        <v>107</v>
      </c>
      <c r="D596" s="19">
        <v>63</v>
      </c>
      <c r="E596" s="19" t="s">
        <v>222</v>
      </c>
      <c r="F596" s="19">
        <v>57</v>
      </c>
      <c r="G596" s="19" t="s">
        <v>95</v>
      </c>
      <c r="H596" s="52" t="s">
        <v>25</v>
      </c>
    </row>
    <row r="597" spans="2:8" ht="18.75" x14ac:dyDescent="0.25">
      <c r="B597" s="109"/>
      <c r="C597" s="51" t="s">
        <v>107</v>
      </c>
      <c r="D597" s="19">
        <v>63</v>
      </c>
      <c r="E597" s="19" t="s">
        <v>222</v>
      </c>
      <c r="F597" s="19">
        <v>187</v>
      </c>
      <c r="G597" s="19" t="s">
        <v>95</v>
      </c>
      <c r="H597" s="52" t="s">
        <v>25</v>
      </c>
    </row>
    <row r="598" spans="2:8" ht="18.75" x14ac:dyDescent="0.25">
      <c r="B598" s="109"/>
      <c r="C598" s="51" t="s">
        <v>107</v>
      </c>
      <c r="D598" s="19">
        <v>63</v>
      </c>
      <c r="E598" s="19" t="s">
        <v>222</v>
      </c>
      <c r="F598" s="19">
        <v>80</v>
      </c>
      <c r="G598" s="19" t="s">
        <v>95</v>
      </c>
      <c r="H598" s="52" t="s">
        <v>25</v>
      </c>
    </row>
    <row r="599" spans="2:8" ht="18.75" x14ac:dyDescent="0.25">
      <c r="B599" s="109"/>
      <c r="C599" s="51" t="s">
        <v>107</v>
      </c>
      <c r="D599" s="19">
        <v>63</v>
      </c>
      <c r="E599" s="19" t="s">
        <v>222</v>
      </c>
      <c r="F599" s="19">
        <v>50</v>
      </c>
      <c r="G599" s="19" t="s">
        <v>95</v>
      </c>
      <c r="H599" s="52" t="s">
        <v>25</v>
      </c>
    </row>
    <row r="600" spans="2:8" ht="18.75" x14ac:dyDescent="0.25">
      <c r="B600" s="109"/>
      <c r="C600" s="51" t="s">
        <v>107</v>
      </c>
      <c r="D600" s="19">
        <v>63</v>
      </c>
      <c r="E600" s="19" t="s">
        <v>222</v>
      </c>
      <c r="F600" s="19">
        <v>134</v>
      </c>
      <c r="G600" s="19" t="s">
        <v>95</v>
      </c>
      <c r="H600" s="52" t="s">
        <v>25</v>
      </c>
    </row>
    <row r="601" spans="2:8" ht="18.75" x14ac:dyDescent="0.25">
      <c r="B601" s="109"/>
      <c r="C601" s="51" t="s">
        <v>107</v>
      </c>
      <c r="D601" s="19">
        <v>63</v>
      </c>
      <c r="E601" s="19" t="s">
        <v>222</v>
      </c>
      <c r="F601" s="19">
        <v>120</v>
      </c>
      <c r="G601" s="19" t="s">
        <v>95</v>
      </c>
      <c r="H601" s="52" t="s">
        <v>25</v>
      </c>
    </row>
    <row r="602" spans="2:8" ht="18.75" x14ac:dyDescent="0.25">
      <c r="B602" s="109"/>
      <c r="C602" s="51" t="s">
        <v>107</v>
      </c>
      <c r="D602" s="19">
        <v>63</v>
      </c>
      <c r="E602" s="19" t="s">
        <v>222</v>
      </c>
      <c r="F602" s="19">
        <v>172</v>
      </c>
      <c r="G602" s="19" t="s">
        <v>95</v>
      </c>
      <c r="H602" s="52" t="s">
        <v>25</v>
      </c>
    </row>
    <row r="603" spans="2:8" ht="18.75" x14ac:dyDescent="0.25">
      <c r="B603" s="109"/>
      <c r="C603" s="51" t="s">
        <v>107</v>
      </c>
      <c r="D603" s="19">
        <v>63</v>
      </c>
      <c r="E603" s="19" t="s">
        <v>222</v>
      </c>
      <c r="F603" s="19">
        <v>109</v>
      </c>
      <c r="G603" s="19" t="s">
        <v>95</v>
      </c>
      <c r="H603" s="52" t="s">
        <v>25</v>
      </c>
    </row>
    <row r="604" spans="2:8" ht="18.75" x14ac:dyDescent="0.25">
      <c r="B604" s="109"/>
      <c r="C604" s="51" t="s">
        <v>107</v>
      </c>
      <c r="D604" s="19">
        <v>63</v>
      </c>
      <c r="E604" s="19" t="s">
        <v>222</v>
      </c>
      <c r="F604" s="19">
        <v>31</v>
      </c>
      <c r="G604" s="19" t="s">
        <v>95</v>
      </c>
      <c r="H604" s="52" t="s">
        <v>25</v>
      </c>
    </row>
    <row r="605" spans="2:8" ht="18.75" x14ac:dyDescent="0.25">
      <c r="B605" s="109"/>
      <c r="C605" s="51" t="s">
        <v>107</v>
      </c>
      <c r="D605" s="19">
        <v>63</v>
      </c>
      <c r="E605" s="19" t="s">
        <v>222</v>
      </c>
      <c r="F605" s="19">
        <v>61</v>
      </c>
      <c r="G605" s="19" t="s">
        <v>95</v>
      </c>
      <c r="H605" s="52" t="s">
        <v>25</v>
      </c>
    </row>
    <row r="606" spans="2:8" ht="18.75" x14ac:dyDescent="0.25">
      <c r="B606" s="109"/>
      <c r="C606" s="51" t="s">
        <v>107</v>
      </c>
      <c r="D606" s="19">
        <v>63</v>
      </c>
      <c r="E606" s="19" t="s">
        <v>222</v>
      </c>
      <c r="F606" s="19">
        <v>88</v>
      </c>
      <c r="G606" s="19" t="s">
        <v>95</v>
      </c>
      <c r="H606" s="52" t="s">
        <v>25</v>
      </c>
    </row>
    <row r="607" spans="2:8" ht="18.75" x14ac:dyDescent="0.25">
      <c r="B607" s="109"/>
      <c r="C607" s="51" t="s">
        <v>107</v>
      </c>
      <c r="D607" s="19">
        <v>63</v>
      </c>
      <c r="E607" s="19" t="s">
        <v>222</v>
      </c>
      <c r="F607" s="19">
        <v>54</v>
      </c>
      <c r="G607" s="19" t="s">
        <v>95</v>
      </c>
      <c r="H607" s="52" t="s">
        <v>25</v>
      </c>
    </row>
    <row r="608" spans="2:8" ht="18.75" x14ac:dyDescent="0.25">
      <c r="B608" s="109"/>
      <c r="C608" s="51" t="s">
        <v>107</v>
      </c>
      <c r="D608" s="19">
        <v>63</v>
      </c>
      <c r="E608" s="19" t="s">
        <v>222</v>
      </c>
      <c r="F608" s="19">
        <v>67</v>
      </c>
      <c r="G608" s="19" t="s">
        <v>95</v>
      </c>
      <c r="H608" s="52" t="s">
        <v>25</v>
      </c>
    </row>
    <row r="609" spans="2:8" ht="18.75" x14ac:dyDescent="0.25">
      <c r="B609" s="109"/>
      <c r="C609" s="51" t="s">
        <v>107</v>
      </c>
      <c r="D609" s="19">
        <v>63</v>
      </c>
      <c r="E609" s="19" t="s">
        <v>222</v>
      </c>
      <c r="F609" s="19">
        <v>105</v>
      </c>
      <c r="G609" s="19" t="s">
        <v>95</v>
      </c>
      <c r="H609" s="52" t="s">
        <v>25</v>
      </c>
    </row>
    <row r="610" spans="2:8" ht="18.75" x14ac:dyDescent="0.25">
      <c r="B610" s="109"/>
      <c r="C610" s="51" t="s">
        <v>107</v>
      </c>
      <c r="D610" s="19">
        <v>75</v>
      </c>
      <c r="E610" s="19" t="s">
        <v>222</v>
      </c>
      <c r="F610" s="19">
        <v>1420</v>
      </c>
      <c r="G610" s="19" t="s">
        <v>95</v>
      </c>
      <c r="H610" s="52" t="s">
        <v>25</v>
      </c>
    </row>
    <row r="611" spans="2:8" ht="18.75" x14ac:dyDescent="0.25">
      <c r="B611" s="109"/>
      <c r="C611" s="51" t="s">
        <v>107</v>
      </c>
      <c r="D611" s="19">
        <v>75</v>
      </c>
      <c r="E611" s="19" t="s">
        <v>222</v>
      </c>
      <c r="F611" s="19">
        <v>54</v>
      </c>
      <c r="G611" s="19" t="s">
        <v>95</v>
      </c>
      <c r="H611" s="52" t="s">
        <v>25</v>
      </c>
    </row>
    <row r="612" spans="2:8" ht="18.75" x14ac:dyDescent="0.25">
      <c r="B612" s="109"/>
      <c r="C612" s="51" t="s">
        <v>107</v>
      </c>
      <c r="D612" s="19">
        <v>75</v>
      </c>
      <c r="E612" s="19" t="s">
        <v>222</v>
      </c>
      <c r="F612" s="19">
        <v>95</v>
      </c>
      <c r="G612" s="19" t="s">
        <v>95</v>
      </c>
      <c r="H612" s="52" t="s">
        <v>25</v>
      </c>
    </row>
    <row r="613" spans="2:8" ht="18.75" x14ac:dyDescent="0.25">
      <c r="B613" s="109"/>
      <c r="C613" s="51" t="s">
        <v>107</v>
      </c>
      <c r="D613" s="19">
        <v>75</v>
      </c>
      <c r="E613" s="19" t="s">
        <v>222</v>
      </c>
      <c r="F613" s="19">
        <v>93</v>
      </c>
      <c r="G613" s="19" t="s">
        <v>95</v>
      </c>
      <c r="H613" s="52" t="s">
        <v>25</v>
      </c>
    </row>
    <row r="614" spans="2:8" ht="18.75" x14ac:dyDescent="0.25">
      <c r="B614" s="109"/>
      <c r="C614" s="51" t="s">
        <v>107</v>
      </c>
      <c r="D614" s="19">
        <v>75</v>
      </c>
      <c r="E614" s="19" t="s">
        <v>222</v>
      </c>
      <c r="F614" s="19">
        <v>34</v>
      </c>
      <c r="G614" s="19" t="s">
        <v>95</v>
      </c>
      <c r="H614" s="52" t="s">
        <v>25</v>
      </c>
    </row>
    <row r="615" spans="2:8" ht="18.75" x14ac:dyDescent="0.25">
      <c r="B615" s="109"/>
      <c r="C615" s="51" t="s">
        <v>107</v>
      </c>
      <c r="D615" s="19">
        <v>75</v>
      </c>
      <c r="E615" s="19" t="s">
        <v>222</v>
      </c>
      <c r="F615" s="19">
        <v>680</v>
      </c>
      <c r="G615" s="19" t="s">
        <v>95</v>
      </c>
      <c r="H615" s="52" t="s">
        <v>25</v>
      </c>
    </row>
    <row r="616" spans="2:8" ht="18.75" x14ac:dyDescent="0.25">
      <c r="B616" s="109"/>
      <c r="C616" s="51" t="s">
        <v>107</v>
      </c>
      <c r="D616" s="19">
        <v>75</v>
      </c>
      <c r="E616" s="19" t="s">
        <v>222</v>
      </c>
      <c r="F616" s="19">
        <v>200</v>
      </c>
      <c r="G616" s="19" t="s">
        <v>95</v>
      </c>
      <c r="H616" s="52" t="s">
        <v>25</v>
      </c>
    </row>
    <row r="617" spans="2:8" ht="20.25" customHeight="1" thickBot="1" x14ac:dyDescent="0.3">
      <c r="B617" s="110"/>
      <c r="C617" s="53" t="s">
        <v>107</v>
      </c>
      <c r="D617" s="20" t="s">
        <v>129</v>
      </c>
      <c r="E617" s="20" t="s">
        <v>222</v>
      </c>
      <c r="F617" s="20">
        <v>12000</v>
      </c>
      <c r="G617" s="20" t="s">
        <v>95</v>
      </c>
      <c r="H617" s="54" t="s">
        <v>25</v>
      </c>
    </row>
  </sheetData>
  <mergeCells count="21">
    <mergeCell ref="B93:B99"/>
    <mergeCell ref="B155:B171"/>
    <mergeCell ref="B172:B176"/>
    <mergeCell ref="B229:B238"/>
    <mergeCell ref="B258:B266"/>
    <mergeCell ref="B588:B617"/>
    <mergeCell ref="B100:B112"/>
    <mergeCell ref="B124:B131"/>
    <mergeCell ref="B113:B123"/>
    <mergeCell ref="B132:B154"/>
    <mergeCell ref="B177:B228"/>
    <mergeCell ref="B267:B462"/>
    <mergeCell ref="B463:B564"/>
    <mergeCell ref="B239:B257"/>
    <mergeCell ref="B565:B587"/>
    <mergeCell ref="B5:H5"/>
    <mergeCell ref="B8:B22"/>
    <mergeCell ref="B71:B92"/>
    <mergeCell ref="B23:B50"/>
    <mergeCell ref="B51:B57"/>
    <mergeCell ref="B58:B70"/>
  </mergeCells>
  <dataValidations count="4">
    <dataValidation type="list" allowBlank="1" showInputMessage="1" showErrorMessage="1" sqref="H177:H180">
      <formula1>"Bon,Moyen,Dégradé,"</formula1>
    </dataValidation>
    <dataValidation type="list" allowBlank="1" showInputMessage="1" showErrorMessage="1" sqref="G51:G57 G113:G123 G177:G192 G8:G22 G463:G465">
      <formula1>"Gravitaire,Refoulement,"</formula1>
    </dataValidation>
    <dataValidation type="list" showInputMessage="1" showErrorMessage="1" sqref="H216:H218 H181:H213 H8:H69 H71:H110 H113:H176 H228:H237 H239:H617">
      <formula1>"Bon,Moyen,Dégradé,"</formula1>
    </dataValidation>
    <dataValidation type="list" showInputMessage="1" showErrorMessage="1" sqref="E27:E82 E85:E617">
      <formula1>"AC,BP,FONTE,PEHD,PVC,PEBD,AG,PRV,"</formula1>
    </dataValidation>
  </dataValidations>
  <pageMargins left="0.7" right="0.7" top="0.75" bottom="0.75" header="0.3" footer="0.3"/>
  <pageSetup paperSize="9"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Réservoir</vt:lpstr>
      <vt:lpstr>SP</vt:lpstr>
      <vt:lpstr>réseau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2026-01-05T12:48:14Z</dcterms:modified>
</cp:coreProperties>
</file>
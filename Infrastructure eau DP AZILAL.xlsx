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.elomarialaoui\Desktop\"/>
    </mc:Choice>
  </mc:AlternateContent>
  <bookViews>
    <workbookView xWindow="0" yWindow="0" windowWidth="19200" windowHeight="11490" activeTab="3"/>
  </bookViews>
  <sheets>
    <sheet name="Détail" sheetId="1" r:id="rId1"/>
    <sheet name="Global" sheetId="2" r:id="rId2"/>
    <sheet name="Réservoir" sheetId="3" r:id="rId3"/>
    <sheet name="SP" sheetId="4" r:id="rId4"/>
    <sheet name="réseau" sheetId="5" r:id="rId5"/>
  </sheets>
  <calcPr calcId="162913"/>
</workbook>
</file>

<file path=xl/calcChain.xml><?xml version="1.0" encoding="utf-8"?>
<calcChain xmlns="http://schemas.openxmlformats.org/spreadsheetml/2006/main">
  <c r="F47" i="4" l="1"/>
  <c r="F35" i="4"/>
  <c r="F34" i="4"/>
  <c r="H33" i="4"/>
  <c r="H32" i="4"/>
  <c r="F31" i="4"/>
  <c r="F30" i="4"/>
  <c r="H24" i="4"/>
  <c r="F24" i="4"/>
  <c r="H23" i="4"/>
  <c r="F23" i="4"/>
  <c r="H22" i="4"/>
  <c r="F22" i="4"/>
  <c r="E82" i="1"/>
  <c r="E81" i="1"/>
  <c r="E80" i="1"/>
  <c r="E73" i="1"/>
  <c r="E72" i="1"/>
  <c r="E71" i="1"/>
  <c r="D82" i="1"/>
  <c r="D81" i="1"/>
  <c r="D80" i="1"/>
  <c r="D73" i="1"/>
  <c r="D72" i="1"/>
  <c r="D71" i="1"/>
</calcChain>
</file>

<file path=xl/sharedStrings.xml><?xml version="1.0" encoding="utf-8"?>
<sst xmlns="http://schemas.openxmlformats.org/spreadsheetml/2006/main" count="3696" uniqueCount="447">
  <si>
    <t>Fonctions vitales</t>
  </si>
  <si>
    <t>Commune</t>
  </si>
  <si>
    <t>Groupes d’infrastructures importants</t>
  </si>
  <si>
    <t>Q EQUIPE l/s</t>
  </si>
  <si>
    <t>Q EXPLOITE l/s</t>
  </si>
  <si>
    <t>Station de traitement</t>
  </si>
  <si>
    <t>EL KBAB</t>
  </si>
  <si>
    <t>St MONOBLOC</t>
  </si>
  <si>
    <t>Transport</t>
  </si>
  <si>
    <t>Moha ou Hamou Zayani</t>
  </si>
  <si>
    <t>Distribution</t>
  </si>
  <si>
    <t>Aguelmous</t>
  </si>
  <si>
    <t>SR RAS BERIAKH</t>
  </si>
  <si>
    <t>MY BOUAZZA</t>
  </si>
  <si>
    <t>SR4</t>
  </si>
  <si>
    <t>SIDI LAMINE</t>
  </si>
  <si>
    <t>SR SIDI BOUABBAD</t>
  </si>
  <si>
    <t>ADDUCTION SUD</t>
  </si>
  <si>
    <t>SR</t>
  </si>
  <si>
    <t>LEHRI</t>
  </si>
  <si>
    <t>SR1 ( BOUAZZAL)</t>
  </si>
  <si>
    <t>SR BOUGARGOUR</t>
  </si>
  <si>
    <t>SR2 (TABOUCHITE)</t>
  </si>
  <si>
    <t>SR3 ( AIT LHAJ)</t>
  </si>
  <si>
    <t>TIGHSSALINE</t>
  </si>
  <si>
    <t>SR4 AIT SLIMAN</t>
  </si>
  <si>
    <t>AIT ISHAQ</t>
  </si>
  <si>
    <t>SR5 TICHKOUTE</t>
  </si>
  <si>
    <t>Stockage</t>
  </si>
  <si>
    <t>Centre</t>
  </si>
  <si>
    <t>Réservoir</t>
  </si>
  <si>
    <t>Capacité (en m3)</t>
  </si>
  <si>
    <t>Autonomie par centre en h</t>
  </si>
  <si>
    <t>Capacité province</t>
  </si>
  <si>
    <t>Khénifra</t>
  </si>
  <si>
    <t>Réservoir de Distribution</t>
  </si>
  <si>
    <t>El Borj</t>
  </si>
  <si>
    <t>-</t>
  </si>
  <si>
    <t>M'rirt</t>
  </si>
  <si>
    <t>M'rirt ( Non Encore mis en service)</t>
  </si>
  <si>
    <t>Tighza</t>
  </si>
  <si>
    <t>Had Bouhssoussen</t>
  </si>
  <si>
    <t>Sidi Mbarek</t>
  </si>
  <si>
    <t>My Bouazza</t>
  </si>
  <si>
    <t>Réservoir de Mise en Charge</t>
  </si>
  <si>
    <t>Sebt Ait Rahou</t>
  </si>
  <si>
    <t>R 200 M3 SEBT AIT RAHOU</t>
  </si>
  <si>
    <t>Kaf Nsour</t>
  </si>
  <si>
    <t>R 400 M3</t>
  </si>
  <si>
    <t>Sidi Bouabbad</t>
  </si>
  <si>
    <t>R 150 M3</t>
  </si>
  <si>
    <t>Lehri</t>
  </si>
  <si>
    <t xml:space="preserve">R 200 m3 </t>
  </si>
  <si>
    <t>Rural Lehri</t>
  </si>
  <si>
    <t>R1 BOUAZZAL</t>
  </si>
  <si>
    <t>R2 TABOUCHIT</t>
  </si>
  <si>
    <t>Tighssaline</t>
  </si>
  <si>
    <t>R 200 m3</t>
  </si>
  <si>
    <t>R 380 m3</t>
  </si>
  <si>
    <t>Rural Tighssaline</t>
  </si>
  <si>
    <t>R3 AIT SLIMANE</t>
  </si>
  <si>
    <t>Ait Ishaq</t>
  </si>
  <si>
    <t>R 300 m3</t>
  </si>
  <si>
    <t>R 500 m3</t>
  </si>
  <si>
    <t>Rural Ait Ishaq</t>
  </si>
  <si>
    <t>R TIKICHOUT</t>
  </si>
  <si>
    <t>Ouaoumana</t>
  </si>
  <si>
    <t xml:space="preserve">Réservoir 500 m3 </t>
  </si>
  <si>
    <t>El Kbab</t>
  </si>
  <si>
    <t>Réservoir ANCIEN</t>
  </si>
  <si>
    <t>Réservoir NOUVEAU</t>
  </si>
  <si>
    <t>Débit (l/s)</t>
  </si>
  <si>
    <t>linéaire km</t>
  </si>
  <si>
    <t>Débit TOTAL (l/s)</t>
  </si>
  <si>
    <t>linéaireTOTAL km</t>
  </si>
  <si>
    <t>Sidi Amer</t>
  </si>
  <si>
    <t>Lahri</t>
  </si>
  <si>
    <t>Rural</t>
  </si>
  <si>
    <t>Service</t>
  </si>
  <si>
    <r>
      <t>Principales</t>
    </r>
    <r>
      <rPr>
        <b/>
        <sz val="14"/>
        <color rgb="FF000000"/>
        <rFont val="Calibri"/>
        <family val="2"/>
      </rPr>
      <t xml:space="preserve"> caractéristiques</t>
    </r>
  </si>
  <si>
    <t>Population desservie</t>
  </si>
  <si>
    <t>AEP KHENIFRA</t>
  </si>
  <si>
    <t xml:space="preserve">Stations de traitement relevant de la SRM BK </t>
  </si>
  <si>
    <t>Stations de traitement classiques</t>
  </si>
  <si>
    <t>RAS</t>
  </si>
  <si>
    <t>Stations de traitement spécifiques</t>
  </si>
  <si>
    <t>Stations de déminéralisation</t>
  </si>
  <si>
    <t>Stations monobloc</t>
  </si>
  <si>
    <t xml:space="preserve">Stations de pompage </t>
  </si>
  <si>
    <t>192(l/s)éxploité / 253(l/s)équipé</t>
  </si>
  <si>
    <t>Réservoirs de distribution</t>
  </si>
  <si>
    <t>Capacité de stockage: 15670 M3</t>
  </si>
  <si>
    <t>Autonomie : 14 h</t>
  </si>
  <si>
    <t xml:space="preserve">Distribution </t>
  </si>
  <si>
    <t>Conduites principales de distribution</t>
  </si>
  <si>
    <t>Linéaire = 853,96 km</t>
  </si>
  <si>
    <t>Q transit= 446 l/s</t>
  </si>
  <si>
    <t>Opérateur:</t>
  </si>
  <si>
    <t>Région:</t>
  </si>
  <si>
    <t>Préfecture/Province: Khénifra</t>
  </si>
  <si>
    <t>Réservoirs</t>
  </si>
  <si>
    <t>Désignation</t>
  </si>
  <si>
    <t>Type</t>
  </si>
  <si>
    <t>Adresse/ position GPS</t>
  </si>
  <si>
    <t>Capacité (M3)</t>
  </si>
  <si>
    <t>Nombre de cuves</t>
  </si>
  <si>
    <t xml:space="preserve">Date de mise en service </t>
  </si>
  <si>
    <t>Observations</t>
  </si>
  <si>
    <t>Moha Ouhammou Zayani</t>
  </si>
  <si>
    <t xml:space="preserve">SEMI ENTERRE </t>
  </si>
  <si>
    <t>X=473332
Y=260220</t>
  </si>
  <si>
    <t>X=473194
Y=260352</t>
  </si>
  <si>
    <t>X=477560
Y=262540</t>
  </si>
  <si>
    <t>SUR ELEVEE</t>
  </si>
  <si>
    <t>X=478808
Y=260397</t>
  </si>
  <si>
    <t>EL BORJ</t>
  </si>
  <si>
    <t>X=478038
Y=269190</t>
  </si>
  <si>
    <t>Non encore mis en service</t>
  </si>
  <si>
    <t>MRIRT</t>
  </si>
  <si>
    <t>X=484624
Y=283580</t>
  </si>
  <si>
    <t>X=484102
Y=284386</t>
  </si>
  <si>
    <t>X=483707
Y=284167</t>
  </si>
  <si>
    <t>TIGHZA</t>
  </si>
  <si>
    <t>X=497389
Y=287644</t>
  </si>
  <si>
    <t>AGUELMOUS</t>
  </si>
  <si>
    <t>X=458329
Y=284926</t>
  </si>
  <si>
    <t>X=458367
Y=284981</t>
  </si>
  <si>
    <t>BACHE RAS BERIAKH</t>
  </si>
  <si>
    <t>X=460794
Y=288200</t>
  </si>
  <si>
    <t>X=458197
Y=284926</t>
  </si>
  <si>
    <t>X=454301
Y=284638</t>
  </si>
  <si>
    <t>HAD BOUHSSOUSEN</t>
  </si>
  <si>
    <t>X=435616
Y=283724</t>
  </si>
  <si>
    <t>X=437028
Y=283884</t>
  </si>
  <si>
    <t>En Arrêt</t>
  </si>
  <si>
    <t>SIDI MBAREK</t>
  </si>
  <si>
    <t>X=433183
Y=280620</t>
  </si>
  <si>
    <t>BACHE avec Station de Reprise</t>
  </si>
  <si>
    <t>X=433649
Y=284806</t>
  </si>
  <si>
    <t>X=428409
Y=290031</t>
  </si>
  <si>
    <t>01/010/2012</t>
  </si>
  <si>
    <t>X=425600
Y=292800</t>
  </si>
  <si>
    <t>X=425400
Y=292600</t>
  </si>
  <si>
    <t>SEBT AIT RAHOU</t>
  </si>
  <si>
    <t>X=419100
Y=291400</t>
  </si>
  <si>
    <t>KAHF NSOUR</t>
  </si>
  <si>
    <t>X=447179
Y=257334</t>
  </si>
  <si>
    <t>SIDI BOUABAD</t>
  </si>
  <si>
    <t>X=435213
Y=258285</t>
  </si>
  <si>
    <t>X=433118
Y=258057</t>
  </si>
  <si>
    <t>ADDUCTION SUD TIGHASSALINE /AIT ISHAQ</t>
  </si>
  <si>
    <t>R 1500 m3</t>
  </si>
  <si>
    <t>X=473194
 Y=260352</t>
  </si>
  <si>
    <t>X=475961
 Y=256149</t>
  </si>
  <si>
    <t>X=477133
Y=255468</t>
  </si>
  <si>
    <t>LAHRI</t>
  </si>
  <si>
    <t>X=477938
Y=251964</t>
  </si>
  <si>
    <t>X=475483
Y=255204</t>
  </si>
  <si>
    <t>X=482455
Y=252882</t>
  </si>
  <si>
    <t>TIGHASSALINE</t>
  </si>
  <si>
    <t>X=475540
Y=242926</t>
  </si>
  <si>
    <t>X=475580
Y=242905</t>
  </si>
  <si>
    <t>DEGRADE</t>
  </si>
  <si>
    <t>X=482176
Y=238839</t>
  </si>
  <si>
    <t>X=469849
Y=240769</t>
  </si>
  <si>
    <t>X=469836
Y=240769</t>
  </si>
  <si>
    <t>A ÉTÉ TRANSFERE DE LA COMMUNE A L'ONEP</t>
  </si>
  <si>
    <t>X=469824
Y=240765</t>
  </si>
  <si>
    <t>X=473225
Y=237224</t>
  </si>
  <si>
    <t>OUAOUMANA</t>
  </si>
  <si>
    <t>X=462583
Y=236835</t>
  </si>
  <si>
    <t>X=488834
Y=237716</t>
  </si>
  <si>
    <t>X=488834
Y=237675</t>
  </si>
  <si>
    <t xml:space="preserve">Région: </t>
  </si>
  <si>
    <t>Préfecture/Province:</t>
  </si>
  <si>
    <t>Stations de Pompage-Surpresseurs</t>
  </si>
  <si>
    <t xml:space="preserve">Puissance Installée </t>
  </si>
  <si>
    <t>Nombre de Groupes</t>
  </si>
  <si>
    <t>Débit Global (en l/s)</t>
  </si>
  <si>
    <t>(en kW)</t>
  </si>
  <si>
    <t>Station de reprise</t>
  </si>
  <si>
    <t>X=433149
Y=257995</t>
  </si>
  <si>
    <t>X=475961
Y=256149</t>
  </si>
  <si>
    <t>X=476122
Y=250546</t>
  </si>
  <si>
    <t>X=486893
Y=246937</t>
  </si>
  <si>
    <t>X=469842
Y=240762</t>
  </si>
  <si>
    <t>X=472519
Y=238169</t>
  </si>
  <si>
    <t>Conduite principale de distribution</t>
  </si>
  <si>
    <t>Localisation/Commune</t>
  </si>
  <si>
    <t>Diamètre (mm)</t>
  </si>
  <si>
    <t>Matériau</t>
  </si>
  <si>
    <t>Longueur (ml)</t>
  </si>
  <si>
    <t>Mode gravitaire ou refoulement</t>
  </si>
  <si>
    <t>Etat</t>
  </si>
  <si>
    <t>AC</t>
  </si>
  <si>
    <t>Gravitaire</t>
  </si>
  <si>
    <t>Moyen</t>
  </si>
  <si>
    <t>PVC</t>
  </si>
  <si>
    <t>Bon</t>
  </si>
  <si>
    <t>AG</t>
  </si>
  <si>
    <t>PEHD</t>
  </si>
  <si>
    <t>Problème de colmatage</t>
  </si>
  <si>
    <t>EL Kbab</t>
  </si>
  <si>
    <t>FONTE</t>
  </si>
  <si>
    <t>Refoulement</t>
  </si>
  <si>
    <t>AEP AZILAL</t>
  </si>
  <si>
    <t>²</t>
  </si>
  <si>
    <t>Autonomie : 19 h</t>
  </si>
  <si>
    <t>AZILAL</t>
  </si>
  <si>
    <t>RV400</t>
  </si>
  <si>
    <t>réservoir Semi-enterré</t>
  </si>
  <si>
    <t>X = 31.964888
Y = -6.561908</t>
  </si>
  <si>
    <t>RV1000</t>
  </si>
  <si>
    <t>X = 31.961027
Y = -6.5520506
Z:</t>
  </si>
  <si>
    <t>RV2000</t>
  </si>
  <si>
    <t>X = 31.9611021
Y = -6.5517532</t>
  </si>
  <si>
    <t>RV1500</t>
  </si>
  <si>
    <t>X = 31.9513640
Y = -6.5903766</t>
  </si>
  <si>
    <t>RV500</t>
  </si>
  <si>
    <t>X = 31.964746
Y = -6.561868</t>
  </si>
  <si>
    <t>X = 31.9632198
Y = -6.5472648</t>
  </si>
  <si>
    <t>TIFNI</t>
  </si>
  <si>
    <t>RV100</t>
  </si>
  <si>
    <t>Semi-enterré</t>
  </si>
  <si>
    <t>X = 352733.59
Y = 124891.48</t>
  </si>
  <si>
    <t>TANANT</t>
  </si>
  <si>
    <t>RV120</t>
  </si>
  <si>
    <t>Surélevé</t>
  </si>
  <si>
    <t>X = 354013.37
Y = 142112.03</t>
  </si>
  <si>
    <t>RV250</t>
  </si>
  <si>
    <t>X = 353942.03
Y = 142048.73</t>
  </si>
  <si>
    <t>TANANT(Rural)</t>
  </si>
  <si>
    <t>RV 200</t>
  </si>
  <si>
    <t>X= 364383.63
Y= 150222.32</t>
  </si>
  <si>
    <t>bache 50</t>
  </si>
  <si>
    <t>X= 364066.80
Y= 150976.02</t>
  </si>
  <si>
    <t>RFALA</t>
  </si>
  <si>
    <t xml:space="preserve">X = 356533.41
Y = 176501.15 </t>
  </si>
  <si>
    <t xml:space="preserve">X = 364502.27 
Y = 175852.20  </t>
  </si>
  <si>
    <t>OUZOUD</t>
  </si>
  <si>
    <t>RV70</t>
  </si>
  <si>
    <t xml:space="preserve"> Semi-enterré</t>
  </si>
  <si>
    <t>X= 375243.70
Y= 158235.96</t>
  </si>
  <si>
    <t>RV200</t>
  </si>
  <si>
    <t>réservoir Surelevé</t>
  </si>
  <si>
    <t>X= 374860.74 
Y= 158100.96</t>
  </si>
  <si>
    <t>X= 372669.00 
Y= 148233.00</t>
  </si>
  <si>
    <t>OUAOULA</t>
  </si>
  <si>
    <t>Semi-entteré</t>
  </si>
  <si>
    <t>X= 371886.53
Y= 142022.08</t>
  </si>
  <si>
    <t>OUAOULA (Rural)</t>
  </si>
  <si>
    <t xml:space="preserve">X= 365957.06
Y= 139477.59 </t>
  </si>
  <si>
    <t>OUAOUIZEGHT</t>
  </si>
  <si>
    <t>X= 410002.08  
Y= 174358.23</t>
  </si>
  <si>
    <t>RV240</t>
  </si>
  <si>
    <t>X= 410212.65  
Y= 174501.75</t>
  </si>
  <si>
    <t>RV140</t>
  </si>
  <si>
    <t xml:space="preserve">X= 410752.62  
Y= 174900.77 </t>
  </si>
  <si>
    <t>DEMNATE</t>
  </si>
  <si>
    <t>enteré</t>
  </si>
  <si>
    <t>X 31,724296 Y -6,990097</t>
  </si>
  <si>
    <t>X 31.723729Y -6,993379</t>
  </si>
  <si>
    <t>TIDILI FETOUAKA</t>
  </si>
  <si>
    <t>RV300</t>
  </si>
  <si>
    <t>semi-enterré</t>
  </si>
  <si>
    <t>X 31.71243 Y-7.156934 Z 1042M</t>
  </si>
  <si>
    <t>X 31.72394 Y-7.18882             Z 815M</t>
  </si>
  <si>
    <t>RV50</t>
  </si>
  <si>
    <t>X 31.72238 Y -7.15502</t>
  </si>
  <si>
    <t>X 31.72619 Y -7.07359</t>
  </si>
  <si>
    <t>X 31.734719 Y -7.059252</t>
  </si>
  <si>
    <t>IMLIL</t>
  </si>
  <si>
    <t xml:space="preserve">X= 31.75936                             Y= -7.00990                            Z= 965 M </t>
  </si>
  <si>
    <t>Bache50</t>
  </si>
  <si>
    <t>BACHE</t>
  </si>
  <si>
    <t>BZOU</t>
  </si>
  <si>
    <t>X= 343612.35
Y= 165789.70</t>
  </si>
  <si>
    <t>RV80</t>
  </si>
  <si>
    <t>X= 343599.56
Y= 165784.40</t>
  </si>
  <si>
    <t>surélevé</t>
  </si>
  <si>
    <t xml:space="preserve">X= 344414.34 
Y= 165358.78 </t>
  </si>
  <si>
    <t>BZOU (centre IMEDAHEN)</t>
  </si>
  <si>
    <t>RV150</t>
  </si>
  <si>
    <t>X= 345717.64 
Y= 173145.48</t>
  </si>
  <si>
    <t>Bâche</t>
  </si>
  <si>
    <t>X= 342077.01  
Y= 174147.43</t>
  </si>
  <si>
    <t>Béni Hssan</t>
  </si>
  <si>
    <t>X= 351136.17 
Y= 161674.07</t>
  </si>
  <si>
    <t>BENI AYAT</t>
  </si>
  <si>
    <t>SEMI ENTREE</t>
  </si>
  <si>
    <t>X= 387782.10 
Y= 179657.56</t>
  </si>
  <si>
    <t>RV174</t>
  </si>
  <si>
    <t>Sur elevé</t>
  </si>
  <si>
    <t>X= 387993.97 
Y= 180155.24</t>
  </si>
  <si>
    <t>BENI AYAT( DOUARS )</t>
  </si>
  <si>
    <t>X= 381602.62 
Y= 175940.41</t>
  </si>
  <si>
    <t>X= 380810.16 
Y= 180927.78</t>
  </si>
  <si>
    <t>SURELEVE</t>
  </si>
  <si>
    <t>AIT M'HAMMED</t>
  </si>
  <si>
    <t>X = 398442.54 
Y = 143385.32</t>
  </si>
  <si>
    <t>AFOURER</t>
  </si>
  <si>
    <t>X= 392549.55
Y= 178826.95</t>
  </si>
  <si>
    <t>X= 392471.84 
Y= 179303.61</t>
  </si>
  <si>
    <t>RV170</t>
  </si>
  <si>
    <t>X= 392447.17 
Y= 179301.99</t>
  </si>
  <si>
    <t>RV25</t>
  </si>
  <si>
    <t>X= 392718.95 
Y= 178414.40</t>
  </si>
  <si>
    <t>X= 392708.01 
Y= 179618.03</t>
  </si>
  <si>
    <t>Moulay Aissa ben DRIS (centre AIT ATTAB)</t>
  </si>
  <si>
    <t>RV600</t>
  </si>
  <si>
    <t>X= 377684.36  m
Y= 168312.85  m</t>
  </si>
  <si>
    <t>RV50 m3</t>
  </si>
  <si>
    <t>50 m3</t>
  </si>
  <si>
    <t>RV30 m3</t>
  </si>
  <si>
    <t>X= 376562.11  m
Y= 163576.06  m</t>
  </si>
  <si>
    <t>30 m3</t>
  </si>
  <si>
    <t>Surlevé</t>
  </si>
  <si>
    <t>Moulay Aissa ben DRIS(centre TISQUI)</t>
  </si>
  <si>
    <t>RV200 m3</t>
  </si>
  <si>
    <t>X= 371900.00   m
Y= 169440.00  m</t>
  </si>
  <si>
    <t>200 m3</t>
  </si>
  <si>
    <t>RV150 m3</t>
  </si>
  <si>
    <t>X= 371680.00  m
Y= 169350.00  m</t>
  </si>
  <si>
    <t>150 m3</t>
  </si>
  <si>
    <t>FOUM JEMAA</t>
  </si>
  <si>
    <t>X =356039.86  Y=157592.74</t>
  </si>
  <si>
    <t>X 350750,977    Y 152682,464</t>
  </si>
  <si>
    <t>X  350753,44  Y  152278,970</t>
  </si>
  <si>
    <t>RV60</t>
  </si>
  <si>
    <t>X= 356049.73
Y= 157598.68</t>
  </si>
  <si>
    <t>Ait majden</t>
  </si>
  <si>
    <t>X= 351289.78
Y= 141895.34</t>
  </si>
  <si>
    <t>TAMDA AMRCIDE</t>
  </si>
  <si>
    <t>X= 384730.99
Y= 144338.50</t>
  </si>
  <si>
    <t>X= 386393.27
Y= 147333.05</t>
  </si>
  <si>
    <t>BACHE 25</t>
  </si>
  <si>
    <t>Bache</t>
  </si>
  <si>
    <t>X= 382558.97
Y= 145308.53</t>
  </si>
  <si>
    <t>X= 385619.27
Y= 147303.16</t>
  </si>
  <si>
    <t>Traitement</t>
  </si>
  <si>
    <t>Foum Jemaa</t>
  </si>
  <si>
    <t>St de déminiralisation</t>
  </si>
  <si>
    <t>SR2</t>
  </si>
  <si>
    <t>BZOU (centre IMEDDAHEN)</t>
  </si>
  <si>
    <t>Moulay Aissa Ben dris</t>
  </si>
  <si>
    <t>SR3</t>
  </si>
  <si>
    <t>SR1</t>
  </si>
  <si>
    <t>FOUM-JEMAA</t>
  </si>
  <si>
    <t>SR6-1-1</t>
  </si>
  <si>
    <t>SR6-1-2</t>
  </si>
  <si>
    <t>SR6-2</t>
  </si>
  <si>
    <t>SR SUR RV200</t>
  </si>
  <si>
    <t>R 1000m3</t>
  </si>
  <si>
    <t>SR7</t>
  </si>
  <si>
    <t>SR AIT SEHNOUN</t>
  </si>
  <si>
    <t>TAMDA NOUMERCID</t>
  </si>
  <si>
    <t>SR14</t>
  </si>
  <si>
    <t>SR10</t>
  </si>
  <si>
    <t xml:space="preserve"> TANANT (RURAL TANANT)</t>
  </si>
  <si>
    <t>SURPRESSEUR</t>
  </si>
  <si>
    <t>TAGUELLA (centre OUZOUD)</t>
  </si>
  <si>
    <t>SURPRESSEUR AHANSAL</t>
  </si>
  <si>
    <t>BENI HASSAN</t>
  </si>
  <si>
    <t>SR OULED MBAREK</t>
  </si>
  <si>
    <t>SR OULED RMICH</t>
  </si>
  <si>
    <t>1.11 l/s</t>
  </si>
  <si>
    <t>25+50</t>
  </si>
  <si>
    <t>9+15</t>
  </si>
  <si>
    <t>Azilal</t>
  </si>
  <si>
    <t>Demnate</t>
  </si>
  <si>
    <t>Ouaouizeght</t>
  </si>
  <si>
    <t>Afourar</t>
  </si>
  <si>
    <t>Ait M'hamed</t>
  </si>
  <si>
    <t>Tamda Noumercid</t>
  </si>
  <si>
    <t>Tisqi</t>
  </si>
  <si>
    <t>Rfala</t>
  </si>
  <si>
    <t>Tanant</t>
  </si>
  <si>
    <t>Bni Hassane</t>
  </si>
  <si>
    <t>Ouaoula</t>
  </si>
  <si>
    <t>Ait Majden</t>
  </si>
  <si>
    <t>Tifni</t>
  </si>
  <si>
    <t>Imlil</t>
  </si>
  <si>
    <t>Tidili Fetouaka</t>
  </si>
  <si>
    <t>douars beni ayat</t>
  </si>
  <si>
    <t>6 reservoirs</t>
  </si>
  <si>
    <t>3 reservoirs</t>
  </si>
  <si>
    <t>4 reservoirs</t>
  </si>
  <si>
    <t>5 reservoirs</t>
  </si>
  <si>
    <t>2 reservoirs</t>
  </si>
  <si>
    <t xml:space="preserve">1 reservois </t>
  </si>
  <si>
    <t>1 reservoirs</t>
  </si>
  <si>
    <t xml:space="preserve">1 reservoirs </t>
  </si>
  <si>
    <t>1 reservoir</t>
  </si>
  <si>
    <t>20 l/s (Foum Jemaa)</t>
  </si>
  <si>
    <t>DP AZILAL</t>
  </si>
  <si>
    <t>Moulay Aissa Ben driss(centre ait atab)</t>
  </si>
  <si>
    <t>Moulay Aissa Ben driss(centreTISKI)</t>
  </si>
  <si>
    <t>BZOU(centre IMEDDAHEN)</t>
  </si>
  <si>
    <t>AIT MHAMMED</t>
  </si>
  <si>
    <t>OUAOUIZERT</t>
  </si>
  <si>
    <t>TAGUELLA(centre OUZOUD)</t>
  </si>
  <si>
    <t>BENI AYAT (DR BENI AYAT)</t>
  </si>
  <si>
    <t xml:space="preserve">IMLIL </t>
  </si>
  <si>
    <t>centre ait atab</t>
  </si>
  <si>
    <t>centreTISKI</t>
  </si>
  <si>
    <t xml:space="preserve"> IMEDDAHEN</t>
  </si>
  <si>
    <t>DR BENI AYAT</t>
  </si>
  <si>
    <t>Linéaire = 1143 km</t>
  </si>
  <si>
    <t>centre beni ayat</t>
  </si>
  <si>
    <t>centre ouzoud</t>
  </si>
  <si>
    <t>centre Imdahen</t>
  </si>
  <si>
    <t>centre bzou</t>
  </si>
  <si>
    <t>centre ait attab</t>
  </si>
  <si>
    <t>Capacité de stockage: 17739 M3</t>
  </si>
  <si>
    <t>3Principal+1secours</t>
  </si>
  <si>
    <t>Douar Bouljrouf</t>
  </si>
  <si>
    <t>Douar Igourdane</t>
  </si>
  <si>
    <t xml:space="preserve">X31.734719 Y-7.059252 Z </t>
  </si>
  <si>
    <t>X 31.72619                                   Y- 7.07359                                     Z 1117M</t>
  </si>
  <si>
    <t>X 31.72238                                   Y- 7.15502                                     Z 877M</t>
  </si>
  <si>
    <t>Surpresseur</t>
  </si>
  <si>
    <t>ait ouganoune</t>
  </si>
  <si>
    <t>45+132</t>
  </si>
  <si>
    <t>qu.administratif</t>
  </si>
  <si>
    <t>7.5+12.6</t>
  </si>
  <si>
    <t>7,5</t>
  </si>
  <si>
    <t>Station de pompage</t>
  </si>
  <si>
    <t>X=  371837.65
Y= 142269.48</t>
  </si>
  <si>
    <t>SR1( VER BF)</t>
  </si>
  <si>
    <t>SR 2 (vers AIT ABDERRAHMAN)</t>
  </si>
  <si>
    <t>RESEAU</t>
  </si>
  <si>
    <t xml:space="preserve">Bon </t>
  </si>
  <si>
    <t>inexistant</t>
  </si>
  <si>
    <t>Dégradé</t>
  </si>
  <si>
    <t>gravitaire</t>
  </si>
  <si>
    <t>BON</t>
  </si>
  <si>
    <t>Réseau</t>
  </si>
  <si>
    <t>PIQUAGE SUR ADDUCTION</t>
  </si>
  <si>
    <t xml:space="preserve">PVC </t>
  </si>
  <si>
    <t>50-125</t>
  </si>
  <si>
    <t>1.11</t>
  </si>
  <si>
    <t>300(l/s)éxploité / 300(l/s)équipé</t>
  </si>
  <si>
    <t>Q transit= 270l/s</t>
  </si>
  <si>
    <t>8455 (éq hab)</t>
  </si>
  <si>
    <t>137091 (éq hab)</t>
  </si>
  <si>
    <t>20+20</t>
  </si>
  <si>
    <t>1 principal+ 1 secours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</si>
</sst>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380C]dd/mm/yyyy"/>
    <numFmt numFmtId="165" formatCode="_-* #,##0.00\ _€_-;\-* #,##0.00\ _€_-;_-* &quot;-&quot;??\ _€_-;_-@"/>
  </numFmts>
  <fonts count="34">
    <font>
      <sz val="11"/>
      <color rgb="FF000000"/>
      <name val="Calibri"/>
    </font>
    <font>
      <b/>
      <sz val="14"/>
      <color rgb="FF000000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b/>
      <sz val="10"/>
      <color rgb="FFFFFFFF"/>
      <name val="Kievit"/>
    </font>
    <font>
      <sz val="10"/>
      <name val="Calibri"/>
      <family val="2"/>
    </font>
    <font>
      <b/>
      <u/>
      <sz val="14"/>
      <color rgb="FF000000"/>
      <name val="Calibri"/>
      <family val="2"/>
    </font>
    <font>
      <b/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onstantia"/>
      <family val="1"/>
    </font>
    <font>
      <sz val="11"/>
      <color rgb="FFFF0000"/>
      <name val="Calibri"/>
      <family val="2"/>
    </font>
    <font>
      <sz val="11"/>
      <color rgb="FF0000FF"/>
      <name val="Constantia"/>
      <family val="1"/>
    </font>
    <font>
      <b/>
      <sz val="22"/>
      <name val="Calibri"/>
      <family val="2"/>
    </font>
    <font>
      <sz val="10"/>
      <name val="Times New Roman"/>
      <family val="1"/>
    </font>
    <font>
      <sz val="11"/>
      <name val="Book Antiqua"/>
      <family val="1"/>
    </font>
    <font>
      <sz val="11"/>
      <color rgb="FF0000FF"/>
      <name val="Calibri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sz val="12"/>
      <name val="Times New Roman"/>
      <family val="1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  <font>
      <i/>
      <sz val="13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i/>
      <sz val="14"/>
      <name val="Calibri"/>
      <family val="2"/>
    </font>
    <font>
      <i/>
      <sz val="11"/>
      <name val="Calibri"/>
      <family val="2"/>
    </font>
    <font>
      <sz val="10"/>
      <name val="Calibri"/>
      <family val="2"/>
    </font>
    <font>
      <i/>
      <sz val="10"/>
      <name val="Calibri"/>
      <family val="2"/>
    </font>
    <font>
      <b/>
      <i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BE2D5"/>
        <bgColor rgb="FFFBE2D5"/>
      </patternFill>
    </fill>
    <fill>
      <patternFill patternType="solid">
        <fgColor rgb="FF00B0F0"/>
        <bgColor rgb="FF00B0F0"/>
      </patternFill>
    </fill>
    <fill>
      <patternFill patternType="solid">
        <fgColor rgb="FF4F81BD"/>
        <bgColor rgb="FF4F81BD"/>
      </patternFill>
    </fill>
    <fill>
      <patternFill patternType="solid">
        <fgColor rgb="FFBFEBFA"/>
        <bgColor rgb="FFBFEBFA"/>
      </patternFill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indexed="64"/>
      </patternFill>
    </fill>
  </fills>
  <borders count="7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0" fillId="0" borderId="1" xfId="0" applyFont="1" applyBorder="1"/>
    <xf numFmtId="0" fontId="2" fillId="0" borderId="2" xfId="0" applyFont="1" applyBorder="1" applyAlignment="1">
      <alignment horizontal="left" vertical="center" wrapText="1" readingOrder="1"/>
    </xf>
    <xf numFmtId="0" fontId="2" fillId="0" borderId="2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2" fillId="3" borderId="5" xfId="0" applyFont="1" applyFill="1" applyBorder="1" applyAlignment="1">
      <alignment horizontal="center" vertical="center" wrapText="1" readingOrder="1"/>
    </xf>
    <xf numFmtId="0" fontId="2" fillId="3" borderId="6" xfId="0" applyFont="1" applyFill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left" vertical="center" wrapText="1" readingOrder="1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0" fillId="0" borderId="8" xfId="0" applyFont="1" applyBorder="1"/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2" fillId="0" borderId="8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 readingOrder="1"/>
    </xf>
    <xf numFmtId="0" fontId="2" fillId="0" borderId="11" xfId="0" applyFont="1" applyBorder="1" applyAlignment="1">
      <alignment horizontal="left" vertical="center" wrapText="1"/>
    </xf>
    <xf numFmtId="0" fontId="0" fillId="0" borderId="11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 readingOrder="1"/>
    </xf>
    <xf numFmtId="0" fontId="0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2" fontId="0" fillId="0" borderId="8" xfId="0" applyNumberFormat="1" applyFont="1" applyBorder="1" applyAlignment="1">
      <alignment horizontal="center" vertical="center"/>
    </xf>
    <xf numFmtId="2" fontId="0" fillId="0" borderId="8" xfId="0" applyNumberFormat="1" applyFont="1" applyBorder="1"/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vertical="center" wrapText="1"/>
    </xf>
    <xf numFmtId="0" fontId="11" fillId="0" borderId="0" xfId="0" applyFont="1" applyAlignment="1">
      <alignment horizontal="left" vertical="center" readingOrder="1"/>
    </xf>
    <xf numFmtId="0" fontId="12" fillId="0" borderId="0" xfId="0" applyFont="1"/>
    <xf numFmtId="0" fontId="13" fillId="0" borderId="0" xfId="0" applyFont="1" applyAlignment="1">
      <alignment horizontal="left" vertical="center" readingOrder="1"/>
    </xf>
    <xf numFmtId="0" fontId="14" fillId="0" borderId="0" xfId="0" applyFont="1" applyAlignment="1">
      <alignment horizontal="left" vertical="center" readingOrder="1"/>
    </xf>
    <xf numFmtId="0" fontId="0" fillId="3" borderId="26" xfId="0" applyFont="1" applyFill="1" applyBorder="1" applyAlignment="1">
      <alignment horizontal="center" vertical="center" wrapText="1" readingOrder="1"/>
    </xf>
    <xf numFmtId="0" fontId="2" fillId="3" borderId="26" xfId="0" applyFont="1" applyFill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left" wrapText="1" readingOrder="1"/>
    </xf>
    <xf numFmtId="164" fontId="2" fillId="0" borderId="8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left" vertical="center" wrapText="1"/>
    </xf>
    <xf numFmtId="14" fontId="2" fillId="0" borderId="8" xfId="0" applyNumberFormat="1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 wrapText="1"/>
    </xf>
    <xf numFmtId="164" fontId="2" fillId="0" borderId="11" xfId="0" applyNumberFormat="1" applyFont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 wrapText="1" readingOrder="1"/>
    </xf>
    <xf numFmtId="14" fontId="2" fillId="0" borderId="8" xfId="0" applyNumberFormat="1" applyFont="1" applyBorder="1" applyAlignment="1">
      <alignment horizontal="center" vertical="center" wrapText="1" readingOrder="1"/>
    </xf>
    <xf numFmtId="0" fontId="16" fillId="0" borderId="8" xfId="0" applyFont="1" applyBorder="1" applyAlignment="1">
      <alignment vertical="center" wrapText="1"/>
    </xf>
    <xf numFmtId="14" fontId="2" fillId="0" borderId="8" xfId="0" applyNumberFormat="1" applyFont="1" applyBorder="1" applyAlignment="1">
      <alignment horizontal="center" vertical="center"/>
    </xf>
    <xf numFmtId="14" fontId="0" fillId="0" borderId="8" xfId="0" applyNumberFormat="1" applyFont="1" applyBorder="1" applyAlignment="1">
      <alignment horizontal="center"/>
    </xf>
    <xf numFmtId="0" fontId="2" fillId="0" borderId="11" xfId="0" applyFont="1" applyBorder="1" applyAlignment="1">
      <alignment horizontal="left" wrapText="1" readingOrder="1"/>
    </xf>
    <xf numFmtId="14" fontId="0" fillId="0" borderId="11" xfId="0" applyNumberFormat="1" applyFont="1" applyBorder="1" applyAlignment="1">
      <alignment horizontal="center"/>
    </xf>
    <xf numFmtId="0" fontId="0" fillId="0" borderId="11" xfId="0" applyFont="1" applyBorder="1"/>
    <xf numFmtId="0" fontId="17" fillId="0" borderId="0" xfId="0" applyFont="1"/>
    <xf numFmtId="0" fontId="18" fillId="3" borderId="26" xfId="0" applyFont="1" applyFill="1" applyBorder="1" applyAlignment="1">
      <alignment horizontal="center" vertical="center" wrapText="1" readingOrder="1"/>
    </xf>
    <xf numFmtId="0" fontId="19" fillId="0" borderId="8" xfId="0" applyFont="1" applyBorder="1"/>
    <xf numFmtId="0" fontId="19" fillId="6" borderId="8" xfId="0" applyFont="1" applyFill="1" applyBorder="1" applyAlignment="1">
      <alignment horizontal="center" vertical="center" wrapText="1"/>
    </xf>
    <xf numFmtId="2" fontId="19" fillId="0" borderId="8" xfId="0" applyNumberFormat="1" applyFont="1" applyBorder="1"/>
    <xf numFmtId="2" fontId="19" fillId="0" borderId="8" xfId="0" applyNumberFormat="1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165" fontId="19" fillId="0" borderId="8" xfId="0" applyNumberFormat="1" applyFont="1" applyBorder="1" applyAlignment="1">
      <alignment horizontal="left" vertical="center" wrapText="1"/>
    </xf>
    <xf numFmtId="0" fontId="19" fillId="0" borderId="8" xfId="0" applyFont="1" applyBorder="1" applyAlignment="1">
      <alignment horizontal="center"/>
    </xf>
    <xf numFmtId="2" fontId="20" fillId="0" borderId="8" xfId="0" applyNumberFormat="1" applyFont="1" applyBorder="1" applyAlignment="1">
      <alignment horizontal="center" vertical="center"/>
    </xf>
    <xf numFmtId="1" fontId="20" fillId="0" borderId="8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vertical="center" wrapText="1"/>
    </xf>
    <xf numFmtId="0" fontId="19" fillId="0" borderId="8" xfId="0" applyFont="1" applyBorder="1" applyAlignment="1">
      <alignment horizontal="center" vertical="center" wrapText="1"/>
    </xf>
    <xf numFmtId="165" fontId="19" fillId="0" borderId="8" xfId="0" applyNumberFormat="1" applyFont="1" applyBorder="1" applyAlignment="1">
      <alignment horizontal="center" vertical="center" wrapText="1"/>
    </xf>
    <xf numFmtId="0" fontId="10" fillId="0" borderId="30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8" fillId="0" borderId="33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/>
    </xf>
    <xf numFmtId="0" fontId="5" fillId="0" borderId="26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15" fillId="0" borderId="26" xfId="0" applyFont="1" applyBorder="1" applyAlignment="1">
      <alignment horizontal="left" vertical="center" wrapText="1"/>
    </xf>
    <xf numFmtId="0" fontId="0" fillId="0" borderId="26" xfId="0" applyFont="1" applyBorder="1" applyAlignment="1">
      <alignment horizontal="center"/>
    </xf>
    <xf numFmtId="164" fontId="2" fillId="0" borderId="26" xfId="0" applyNumberFormat="1" applyFont="1" applyBorder="1" applyAlignment="1">
      <alignment horizontal="center" vertical="center"/>
    </xf>
    <xf numFmtId="0" fontId="25" fillId="0" borderId="62" xfId="0" applyFont="1" applyFill="1" applyBorder="1" applyAlignment="1">
      <alignment horizontal="center" vertical="center" wrapText="1" readingOrder="1"/>
    </xf>
    <xf numFmtId="0" fontId="25" fillId="0" borderId="69" xfId="0" applyFont="1" applyFill="1" applyBorder="1" applyAlignment="1">
      <alignment horizontal="center" vertical="center" wrapText="1" readingOrder="1"/>
    </xf>
    <xf numFmtId="0" fontId="25" fillId="0" borderId="29" xfId="0" applyFont="1" applyFill="1" applyBorder="1" applyAlignment="1">
      <alignment horizontal="center" vertical="center" wrapText="1" readingOrder="1"/>
    </xf>
    <xf numFmtId="0" fontId="2" fillId="3" borderId="23" xfId="0" applyFont="1" applyFill="1" applyBorder="1" applyAlignment="1">
      <alignment horizontal="center" vertical="center" wrapText="1" readingOrder="1"/>
    </xf>
    <xf numFmtId="0" fontId="2" fillId="3" borderId="24" xfId="0" applyFont="1" applyFill="1" applyBorder="1" applyAlignment="1">
      <alignment horizontal="center" vertical="center" wrapText="1" readingOrder="1"/>
    </xf>
    <xf numFmtId="0" fontId="2" fillId="3" borderId="70" xfId="0" applyFont="1" applyFill="1" applyBorder="1" applyAlignment="1">
      <alignment horizontal="center" vertical="center" wrapText="1" readingOrder="1"/>
    </xf>
    <xf numFmtId="0" fontId="0" fillId="0" borderId="26" xfId="0" applyFont="1" applyBorder="1"/>
    <xf numFmtId="2" fontId="0" fillId="0" borderId="26" xfId="0" applyNumberFormat="1" applyFont="1" applyBorder="1" applyAlignment="1">
      <alignment horizontal="center" vertical="center"/>
    </xf>
    <xf numFmtId="2" fontId="0" fillId="0" borderId="26" xfId="0" applyNumberFormat="1" applyFont="1" applyBorder="1"/>
    <xf numFmtId="0" fontId="28" fillId="0" borderId="17" xfId="0" applyFont="1" applyBorder="1" applyAlignment="1">
      <alignment horizontal="left" vertical="center" wrapText="1" readingOrder="1"/>
    </xf>
    <xf numFmtId="0" fontId="28" fillId="0" borderId="17" xfId="0" applyFont="1" applyBorder="1" applyAlignment="1">
      <alignment horizontal="left" vertical="center" wrapText="1"/>
    </xf>
    <xf numFmtId="0" fontId="28" fillId="0" borderId="17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6" fillId="0" borderId="7" xfId="0" applyFont="1" applyBorder="1" applyAlignment="1">
      <alignment vertical="center"/>
    </xf>
    <xf numFmtId="0" fontId="29" fillId="0" borderId="29" xfId="0" applyFont="1" applyBorder="1" applyAlignment="1">
      <alignment vertical="center" wrapText="1" readingOrder="1"/>
    </xf>
    <xf numFmtId="0" fontId="29" fillId="0" borderId="29" xfId="0" applyFont="1" applyFill="1" applyBorder="1" applyAlignment="1">
      <alignment vertical="center" wrapText="1" readingOrder="1"/>
    </xf>
    <xf numFmtId="0" fontId="29" fillId="0" borderId="29" xfId="0" applyFont="1" applyBorder="1" applyAlignment="1">
      <alignment vertical="center" readingOrder="1"/>
    </xf>
    <xf numFmtId="0" fontId="21" fillId="0" borderId="30" xfId="0" applyFont="1" applyBorder="1" applyAlignment="1">
      <alignment vertical="center" wrapText="1"/>
    </xf>
    <xf numFmtId="0" fontId="0" fillId="0" borderId="29" xfId="0" applyFont="1" applyBorder="1" applyAlignment="1">
      <alignment horizontal="center" vertical="center"/>
    </xf>
    <xf numFmtId="0" fontId="25" fillId="0" borderId="67" xfId="0" applyFont="1" applyFill="1" applyBorder="1" applyAlignment="1">
      <alignment horizontal="center" vertical="center" wrapText="1" readingOrder="1"/>
    </xf>
    <xf numFmtId="0" fontId="4" fillId="4" borderId="29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left" vertical="center" wrapText="1" readingOrder="1"/>
    </xf>
    <xf numFmtId="0" fontId="2" fillId="0" borderId="26" xfId="0" applyFont="1" applyBorder="1" applyAlignment="1">
      <alignment horizontal="left" vertical="center" wrapText="1"/>
    </xf>
    <xf numFmtId="14" fontId="0" fillId="0" borderId="26" xfId="0" applyNumberFormat="1" applyFont="1" applyBorder="1"/>
    <xf numFmtId="0" fontId="30" fillId="0" borderId="60" xfId="0" applyFont="1" applyBorder="1" applyAlignment="1">
      <alignment horizontal="center" vertical="center" wrapText="1" readingOrder="1"/>
    </xf>
    <xf numFmtId="0" fontId="30" fillId="0" borderId="35" xfId="0" applyFont="1" applyBorder="1" applyAlignment="1">
      <alignment horizontal="center" vertical="center" wrapText="1" readingOrder="1"/>
    </xf>
    <xf numFmtId="0" fontId="30" fillId="0" borderId="29" xfId="0" applyFont="1" applyBorder="1" applyAlignment="1">
      <alignment horizontal="center" vertical="center" wrapText="1" readingOrder="1"/>
    </xf>
    <xf numFmtId="0" fontId="30" fillId="0" borderId="37" xfId="0" applyFont="1" applyBorder="1" applyAlignment="1">
      <alignment horizontal="center" vertical="center" wrapText="1" readingOrder="1"/>
    </xf>
    <xf numFmtId="0" fontId="30" fillId="0" borderId="61" xfId="0" applyFont="1" applyBorder="1" applyAlignment="1">
      <alignment horizontal="center" vertical="center" wrapText="1" readingOrder="1"/>
    </xf>
    <xf numFmtId="0" fontId="30" fillId="0" borderId="41" xfId="0" applyFont="1" applyBorder="1" applyAlignment="1">
      <alignment horizontal="center" vertical="center" wrapText="1" readingOrder="1"/>
    </xf>
    <xf numFmtId="0" fontId="30" fillId="0" borderId="62" xfId="0" applyFont="1" applyBorder="1" applyAlignment="1">
      <alignment horizontal="center" vertical="center" wrapText="1" readingOrder="1"/>
    </xf>
    <xf numFmtId="0" fontId="30" fillId="0" borderId="66" xfId="0" applyFont="1" applyBorder="1" applyAlignment="1">
      <alignment horizontal="center" vertical="center" wrapText="1" readingOrder="1"/>
    </xf>
    <xf numFmtId="0" fontId="30" fillId="0" borderId="63" xfId="0" applyFont="1" applyBorder="1" applyAlignment="1">
      <alignment horizontal="center" vertical="center" wrapText="1" readingOrder="1"/>
    </xf>
    <xf numFmtId="0" fontId="30" fillId="0" borderId="64" xfId="0" applyFont="1" applyBorder="1" applyAlignment="1">
      <alignment horizontal="center" vertical="center" wrapText="1" readingOrder="1"/>
    </xf>
    <xf numFmtId="0" fontId="30" fillId="0" borderId="65" xfId="0" applyFont="1" applyBorder="1" applyAlignment="1">
      <alignment horizontal="center" vertical="center" wrapText="1" readingOrder="1"/>
    </xf>
    <xf numFmtId="0" fontId="30" fillId="0" borderId="59" xfId="0" applyFont="1" applyBorder="1" applyAlignment="1">
      <alignment horizontal="center" vertical="center" wrapText="1" readingOrder="1"/>
    </xf>
    <xf numFmtId="0" fontId="22" fillId="0" borderId="29" xfId="0" applyFont="1" applyFill="1" applyBorder="1" applyAlignment="1">
      <alignment horizontal="center" vertical="center" wrapText="1" readingOrder="1"/>
    </xf>
    <xf numFmtId="0" fontId="30" fillId="0" borderId="49" xfId="0" applyFont="1" applyBorder="1" applyAlignment="1">
      <alignment horizontal="left" vertical="center" wrapText="1" readingOrder="1"/>
    </xf>
    <xf numFmtId="0" fontId="30" fillId="0" borderId="54" xfId="0" applyFont="1" applyBorder="1" applyAlignment="1">
      <alignment horizontal="left" vertical="center" wrapText="1" readingOrder="1"/>
    </xf>
    <xf numFmtId="0" fontId="30" fillId="0" borderId="55" xfId="0" applyFont="1" applyBorder="1" applyAlignment="1">
      <alignment horizontal="left" vertical="center" wrapText="1" readingOrder="1"/>
    </xf>
    <xf numFmtId="0" fontId="30" fillId="0" borderId="59" xfId="0" applyFont="1" applyBorder="1" applyAlignment="1">
      <alignment horizontal="left" vertical="center" wrapText="1" readingOrder="1"/>
    </xf>
    <xf numFmtId="0" fontId="30" fillId="0" borderId="69" xfId="0" applyFont="1" applyFill="1" applyBorder="1" applyAlignment="1">
      <alignment horizontal="center" vertical="center" wrapText="1" readingOrder="1"/>
    </xf>
    <xf numFmtId="0" fontId="30" fillId="0" borderId="29" xfId="0" applyFont="1" applyFill="1" applyBorder="1" applyAlignment="1">
      <alignment horizontal="center" vertical="center" wrapText="1" readingOrder="1"/>
    </xf>
    <xf numFmtId="0" fontId="32" fillId="0" borderId="69" xfId="0" applyFont="1" applyFill="1" applyBorder="1" applyAlignment="1">
      <alignment horizontal="center" vertical="center" wrapText="1" readingOrder="1"/>
    </xf>
    <xf numFmtId="0" fontId="32" fillId="0" borderId="29" xfId="0" applyFont="1" applyFill="1" applyBorder="1" applyAlignment="1">
      <alignment horizontal="center" vertical="center" wrapText="1" readingOrder="1"/>
    </xf>
    <xf numFmtId="14" fontId="32" fillId="0" borderId="29" xfId="0" applyNumberFormat="1" applyFont="1" applyFill="1" applyBorder="1" applyAlignment="1">
      <alignment horizontal="center" vertical="center" wrapText="1" readingOrder="1"/>
    </xf>
    <xf numFmtId="0" fontId="30" fillId="0" borderId="74" xfId="0" applyFont="1" applyBorder="1" applyAlignment="1">
      <alignment horizontal="center" vertical="center" wrapText="1" readingOrder="1"/>
    </xf>
    <xf numFmtId="0" fontId="30" fillId="0" borderId="67" xfId="0" applyFont="1" applyBorder="1" applyAlignment="1">
      <alignment horizontal="center" vertical="center" wrapText="1" readingOrder="1"/>
    </xf>
    <xf numFmtId="0" fontId="30" fillId="0" borderId="42" xfId="0" applyFont="1" applyBorder="1" applyAlignment="1">
      <alignment horizontal="center" vertical="center" wrapText="1" readingOrder="1"/>
    </xf>
    <xf numFmtId="0" fontId="30" fillId="0" borderId="75" xfId="0" applyFont="1" applyBorder="1" applyAlignment="1">
      <alignment horizontal="center" vertical="center" wrapText="1" readingOrder="1"/>
    </xf>
    <xf numFmtId="0" fontId="30" fillId="0" borderId="69" xfId="0" applyFont="1" applyBorder="1" applyAlignment="1">
      <alignment horizontal="center" vertical="center" wrapText="1" readingOrder="1"/>
    </xf>
    <xf numFmtId="0" fontId="30" fillId="0" borderId="43" xfId="0" applyFont="1" applyBorder="1" applyAlignment="1">
      <alignment horizontal="center" vertical="center" wrapText="1" readingOrder="1"/>
    </xf>
    <xf numFmtId="0" fontId="30" fillId="0" borderId="63" xfId="0" applyFont="1" applyFill="1" applyBorder="1" applyAlignment="1">
      <alignment horizontal="center" vertical="center" wrapText="1" readingOrder="1"/>
    </xf>
    <xf numFmtId="0" fontId="30" fillId="0" borderId="60" xfId="0" applyFont="1" applyFill="1" applyBorder="1" applyAlignment="1">
      <alignment horizontal="center" vertical="center" wrapText="1" readingOrder="1"/>
    </xf>
    <xf numFmtId="0" fontId="30" fillId="0" borderId="35" xfId="0" applyFont="1" applyFill="1" applyBorder="1" applyAlignment="1">
      <alignment horizontal="center" vertical="center" wrapText="1" readingOrder="1"/>
    </xf>
    <xf numFmtId="0" fontId="30" fillId="0" borderId="64" xfId="0" applyFont="1" applyFill="1" applyBorder="1" applyAlignment="1">
      <alignment horizontal="center" vertical="center" wrapText="1" readingOrder="1"/>
    </xf>
    <xf numFmtId="0" fontId="30" fillId="0" borderId="37" xfId="0" applyFont="1" applyFill="1" applyBorder="1" applyAlignment="1">
      <alignment horizontal="center" vertical="center" wrapText="1" readingOrder="1"/>
    </xf>
    <xf numFmtId="0" fontId="30" fillId="0" borderId="74" xfId="0" applyFont="1" applyFill="1" applyBorder="1" applyAlignment="1">
      <alignment horizontal="center" vertical="center" wrapText="1" readingOrder="1"/>
    </xf>
    <xf numFmtId="0" fontId="30" fillId="0" borderId="67" xfId="0" applyFont="1" applyFill="1" applyBorder="1" applyAlignment="1">
      <alignment horizontal="center" vertical="center" wrapText="1" readingOrder="1"/>
    </xf>
    <xf numFmtId="0" fontId="30" fillId="0" borderId="42" xfId="0" applyFont="1" applyFill="1" applyBorder="1" applyAlignment="1">
      <alignment horizontal="center" vertical="center" wrapText="1" readingOrder="1"/>
    </xf>
    <xf numFmtId="0" fontId="30" fillId="0" borderId="65" xfId="0" applyFont="1" applyFill="1" applyBorder="1" applyAlignment="1">
      <alignment horizontal="center" vertical="center" wrapText="1" readingOrder="1"/>
    </xf>
    <xf numFmtId="0" fontId="30" fillId="0" borderId="61" xfId="0" applyFont="1" applyFill="1" applyBorder="1" applyAlignment="1">
      <alignment horizontal="center" vertical="center" wrapText="1" readingOrder="1"/>
    </xf>
    <xf numFmtId="0" fontId="30" fillId="0" borderId="41" xfId="0" applyFont="1" applyFill="1" applyBorder="1" applyAlignment="1">
      <alignment horizontal="center" vertical="center" wrapText="1" readingOrder="1"/>
    </xf>
    <xf numFmtId="0" fontId="30" fillId="0" borderId="75" xfId="0" applyFont="1" applyFill="1" applyBorder="1" applyAlignment="1">
      <alignment horizontal="center" vertical="center" wrapText="1" readingOrder="1"/>
    </xf>
    <xf numFmtId="0" fontId="30" fillId="0" borderId="43" xfId="0" applyFont="1" applyFill="1" applyBorder="1" applyAlignment="1">
      <alignment horizontal="center" vertical="center" wrapText="1" readingOrder="1"/>
    </xf>
    <xf numFmtId="0" fontId="19" fillId="6" borderId="26" xfId="0" applyFont="1" applyFill="1" applyBorder="1" applyAlignment="1">
      <alignment horizontal="center" vertical="center" wrapText="1"/>
    </xf>
    <xf numFmtId="0" fontId="19" fillId="0" borderId="26" xfId="0" applyFont="1" applyBorder="1"/>
    <xf numFmtId="0" fontId="21" fillId="0" borderId="30" xfId="0" applyFont="1" applyBorder="1" applyAlignment="1">
      <alignment horizontal="center" vertical="center" wrapText="1"/>
    </xf>
    <xf numFmtId="0" fontId="21" fillId="0" borderId="40" xfId="0" applyFont="1" applyBorder="1" applyAlignment="1">
      <alignment vertical="center" wrapText="1"/>
    </xf>
    <xf numFmtId="0" fontId="23" fillId="0" borderId="34" xfId="0" applyFont="1" applyBorder="1" applyAlignment="1">
      <alignment horizontal="center" vertical="center" wrapText="1"/>
    </xf>
    <xf numFmtId="0" fontId="0" fillId="0" borderId="35" xfId="0" applyFont="1" applyBorder="1" applyAlignment="1"/>
    <xf numFmtId="0" fontId="23" fillId="0" borderId="37" xfId="0" applyFont="1" applyBorder="1" applyAlignment="1">
      <alignment vertical="center"/>
    </xf>
    <xf numFmtId="0" fontId="27" fillId="7" borderId="49" xfId="0" applyFont="1" applyFill="1" applyBorder="1" applyAlignment="1">
      <alignment horizontal="center" vertical="center"/>
    </xf>
    <xf numFmtId="0" fontId="27" fillId="7" borderId="72" xfId="0" applyFont="1" applyFill="1" applyBorder="1" applyAlignment="1">
      <alignment horizontal="center" vertical="center"/>
    </xf>
    <xf numFmtId="0" fontId="27" fillId="7" borderId="73" xfId="0" applyFont="1" applyFill="1" applyBorder="1" applyAlignment="1">
      <alignment horizontal="center" vertical="center"/>
    </xf>
    <xf numFmtId="0" fontId="26" fillId="0" borderId="22" xfId="0" applyFont="1" applyBorder="1" applyAlignment="1">
      <alignment horizontal="left" vertical="center"/>
    </xf>
    <xf numFmtId="0" fontId="26" fillId="0" borderId="0" xfId="0" applyFont="1" applyBorder="1" applyAlignment="1">
      <alignment horizontal="left" vertical="center"/>
    </xf>
    <xf numFmtId="0" fontId="25" fillId="0" borderId="71" xfId="0" applyFont="1" applyFill="1" applyBorder="1" applyAlignment="1">
      <alignment horizontal="center" vertical="center" wrapText="1" readingOrder="1"/>
    </xf>
    <xf numFmtId="0" fontId="25" fillId="0" borderId="68" xfId="0" applyFont="1" applyFill="1" applyBorder="1" applyAlignment="1">
      <alignment horizontal="center" vertical="center" wrapText="1" readingOrder="1"/>
    </xf>
    <xf numFmtId="0" fontId="26" fillId="0" borderId="29" xfId="0" applyFont="1" applyBorder="1" applyAlignment="1">
      <alignment horizontal="left" vertical="center"/>
    </xf>
    <xf numFmtId="0" fontId="0" fillId="0" borderId="29" xfId="0" applyFont="1" applyBorder="1" applyAlignment="1">
      <alignment horizontal="center" vertical="center"/>
    </xf>
    <xf numFmtId="0" fontId="25" fillId="0" borderId="29" xfId="0" applyFont="1" applyFill="1" applyBorder="1" applyAlignment="1">
      <alignment horizontal="center" vertical="center" wrapText="1" readingOrder="1"/>
    </xf>
    <xf numFmtId="0" fontId="0" fillId="0" borderId="11" xfId="0" applyFont="1" applyBorder="1" applyAlignment="1">
      <alignment horizontal="center" vertical="center"/>
    </xf>
    <xf numFmtId="0" fontId="3" fillId="0" borderId="15" xfId="0" applyFont="1" applyBorder="1"/>
    <xf numFmtId="0" fontId="0" fillId="0" borderId="11" xfId="0" applyFont="1" applyBorder="1" applyAlignment="1">
      <alignment horizontal="left" vertical="center"/>
    </xf>
    <xf numFmtId="2" fontId="0" fillId="0" borderId="11" xfId="0" applyNumberFormat="1" applyFont="1" applyBorder="1" applyAlignment="1">
      <alignment horizontal="center" vertical="center"/>
    </xf>
    <xf numFmtId="0" fontId="3" fillId="0" borderId="13" xfId="0" applyFont="1" applyBorder="1"/>
    <xf numFmtId="0" fontId="3" fillId="0" borderId="28" xfId="0" applyFont="1" applyBorder="1"/>
    <xf numFmtId="0" fontId="0" fillId="0" borderId="12" xfId="0" applyFont="1" applyBorder="1" applyAlignment="1">
      <alignment horizontal="center" vertical="center"/>
    </xf>
    <xf numFmtId="0" fontId="3" fillId="0" borderId="14" xfId="0" applyFont="1" applyBorder="1"/>
    <xf numFmtId="0" fontId="3" fillId="0" borderId="19" xfId="0" applyFont="1" applyBorder="1"/>
    <xf numFmtId="0" fontId="0" fillId="0" borderId="4" xfId="0" applyFont="1" applyBorder="1" applyAlignment="1">
      <alignment horizontal="center"/>
    </xf>
    <xf numFmtId="0" fontId="3" fillId="0" borderId="7" xfId="0" applyFont="1" applyBorder="1"/>
    <xf numFmtId="0" fontId="2" fillId="0" borderId="11" xfId="0" applyFont="1" applyBorder="1" applyAlignment="1">
      <alignment horizontal="left" vertical="center" wrapText="1" readingOrder="1"/>
    </xf>
    <xf numFmtId="0" fontId="3" fillId="0" borderId="17" xfId="0" applyFont="1" applyBorder="1"/>
    <xf numFmtId="0" fontId="3" fillId="0" borderId="10" xfId="0" applyFont="1" applyBorder="1"/>
    <xf numFmtId="0" fontId="3" fillId="0" borderId="16" xfId="0" applyFont="1" applyBorder="1"/>
    <xf numFmtId="2" fontId="0" fillId="0" borderId="11" xfId="0" applyNumberFormat="1" applyFont="1" applyBorder="1" applyAlignment="1">
      <alignment horizontal="center"/>
    </xf>
    <xf numFmtId="0" fontId="7" fillId="5" borderId="31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3" fillId="0" borderId="38" xfId="0" applyFont="1" applyBorder="1"/>
    <xf numFmtId="0" fontId="1" fillId="0" borderId="32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3" fillId="0" borderId="39" xfId="0" applyFont="1" applyBorder="1"/>
    <xf numFmtId="0" fontId="10" fillId="0" borderId="12" xfId="0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/>
    </xf>
    <xf numFmtId="0" fontId="3" fillId="0" borderId="25" xfId="0" applyFont="1" applyBorder="1"/>
    <xf numFmtId="0" fontId="1" fillId="0" borderId="2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30" fillId="0" borderId="58" xfId="0" applyFont="1" applyBorder="1" applyAlignment="1">
      <alignment horizontal="left" vertical="center" wrapText="1" readingOrder="1"/>
    </xf>
    <xf numFmtId="0" fontId="30" fillId="0" borderId="53" xfId="0" applyFont="1" applyBorder="1" applyAlignment="1">
      <alignment horizontal="left" vertical="center" wrapText="1" readingOrder="1"/>
    </xf>
    <xf numFmtId="0" fontId="30" fillId="0" borderId="56" xfId="0" applyFont="1" applyBorder="1" applyAlignment="1">
      <alignment horizontal="left" vertical="center" wrapText="1" readingOrder="1"/>
    </xf>
    <xf numFmtId="0" fontId="30" fillId="0" borderId="52" xfId="0" applyFont="1" applyBorder="1" applyAlignment="1">
      <alignment horizontal="left" vertical="center" wrapText="1" readingOrder="1"/>
    </xf>
    <xf numFmtId="0" fontId="31" fillId="7" borderId="29" xfId="0" applyFont="1" applyFill="1" applyBorder="1" applyAlignment="1">
      <alignment horizontal="center" vertical="center" wrapText="1"/>
    </xf>
    <xf numFmtId="0" fontId="30" fillId="0" borderId="46" xfId="0" applyFont="1" applyBorder="1" applyAlignment="1">
      <alignment horizontal="left" vertical="center" wrapText="1" readingOrder="1"/>
    </xf>
    <xf numFmtId="0" fontId="30" fillId="0" borderId="47" xfId="0" applyFont="1" applyBorder="1" applyAlignment="1">
      <alignment horizontal="left" vertical="center" wrapText="1" readingOrder="1"/>
    </xf>
    <xf numFmtId="0" fontId="30" fillId="0" borderId="48" xfId="0" applyFont="1" applyBorder="1" applyAlignment="1">
      <alignment horizontal="left" vertical="center" wrapText="1" readingOrder="1"/>
    </xf>
    <xf numFmtId="0" fontId="30" fillId="0" borderId="46" xfId="0" applyFont="1" applyBorder="1" applyAlignment="1">
      <alignment horizontal="left" vertical="center" readingOrder="1"/>
    </xf>
    <xf numFmtId="0" fontId="30" fillId="0" borderId="48" xfId="0" applyFont="1" applyBorder="1" applyAlignment="1">
      <alignment horizontal="left" vertical="center" readingOrder="1"/>
    </xf>
    <xf numFmtId="0" fontId="30" fillId="0" borderId="50" xfId="0" applyFont="1" applyBorder="1" applyAlignment="1">
      <alignment horizontal="left" vertical="center" wrapText="1" readingOrder="1"/>
    </xf>
    <xf numFmtId="0" fontId="30" fillId="0" borderId="51" xfId="0" applyFont="1" applyBorder="1" applyAlignment="1">
      <alignment horizontal="left" vertical="center" wrapText="1" readingOrder="1"/>
    </xf>
    <xf numFmtId="0" fontId="30" fillId="0" borderId="57" xfId="0" applyFont="1" applyBorder="1" applyAlignment="1">
      <alignment horizontal="left" vertical="center" wrapText="1" readingOrder="1"/>
    </xf>
    <xf numFmtId="0" fontId="14" fillId="0" borderId="0" xfId="0" applyFont="1" applyAlignment="1">
      <alignment horizontal="center" vertical="center" readingOrder="1"/>
    </xf>
    <xf numFmtId="0" fontId="0" fillId="0" borderId="0" xfId="0" applyFont="1" applyAlignment="1"/>
    <xf numFmtId="0" fontId="32" fillId="0" borderId="67" xfId="0" applyFont="1" applyFill="1" applyBorder="1" applyAlignment="1">
      <alignment horizontal="center" vertical="center" wrapText="1" readingOrder="1"/>
    </xf>
    <xf numFmtId="0" fontId="32" fillId="0" borderId="69" xfId="0" applyFont="1" applyFill="1" applyBorder="1" applyAlignment="1">
      <alignment horizontal="center" vertical="center" wrapText="1" readingOrder="1"/>
    </xf>
    <xf numFmtId="0" fontId="24" fillId="7" borderId="67" xfId="0" applyFont="1" applyFill="1" applyBorder="1" applyAlignment="1">
      <alignment horizontal="center" vertical="center" wrapText="1" readingOrder="1"/>
    </xf>
    <xf numFmtId="0" fontId="32" fillId="0" borderId="68" xfId="0" applyFont="1" applyFill="1" applyBorder="1" applyAlignment="1">
      <alignment horizontal="center" vertical="center" wrapText="1" readingOrder="1"/>
    </xf>
    <xf numFmtId="0" fontId="2" fillId="3" borderId="11" xfId="0" applyFont="1" applyFill="1" applyBorder="1" applyAlignment="1">
      <alignment horizontal="center" vertical="center" wrapText="1" readingOrder="1"/>
    </xf>
    <xf numFmtId="0" fontId="3" fillId="0" borderId="27" xfId="0" applyFont="1" applyBorder="1"/>
    <xf numFmtId="0" fontId="23" fillId="7" borderId="29" xfId="0" applyFont="1" applyFill="1" applyBorder="1" applyAlignment="1">
      <alignment horizontal="center" vertical="center"/>
    </xf>
    <xf numFmtId="0" fontId="30" fillId="0" borderId="46" xfId="0" applyFont="1" applyBorder="1" applyAlignment="1">
      <alignment horizontal="center" vertical="center" readingOrder="1"/>
    </xf>
    <xf numFmtId="0" fontId="30" fillId="0" borderId="47" xfId="0" applyFont="1" applyBorder="1" applyAlignment="1">
      <alignment horizontal="center" vertical="center" readingOrder="1"/>
    </xf>
    <xf numFmtId="0" fontId="30" fillId="0" borderId="48" xfId="0" applyFont="1" applyBorder="1" applyAlignment="1">
      <alignment horizontal="center" vertical="center" readingOrder="1"/>
    </xf>
    <xf numFmtId="0" fontId="30" fillId="0" borderId="46" xfId="0" applyFont="1" applyFill="1" applyBorder="1" applyAlignment="1">
      <alignment horizontal="center" vertical="center" wrapText="1" readingOrder="1"/>
    </xf>
    <xf numFmtId="0" fontId="30" fillId="0" borderId="47" xfId="0" applyFont="1" applyFill="1" applyBorder="1" applyAlignment="1">
      <alignment horizontal="center" vertical="center" wrapText="1" readingOrder="1"/>
    </xf>
    <xf numFmtId="0" fontId="30" fillId="0" borderId="48" xfId="0" applyFont="1" applyFill="1" applyBorder="1" applyAlignment="1">
      <alignment horizontal="center" vertical="center" wrapText="1" readingOrder="1"/>
    </xf>
    <xf numFmtId="0" fontId="30" fillId="0" borderId="46" xfId="0" applyFont="1" applyBorder="1" applyAlignment="1">
      <alignment horizontal="center" vertical="center" wrapText="1" readingOrder="1"/>
    </xf>
    <xf numFmtId="0" fontId="30" fillId="0" borderId="47" xfId="0" applyFont="1" applyBorder="1" applyAlignment="1">
      <alignment horizontal="center" vertical="center" wrapText="1" readingOrder="1"/>
    </xf>
    <xf numFmtId="0" fontId="30" fillId="0" borderId="48" xfId="0" applyFont="1" applyBorder="1" applyAlignment="1">
      <alignment horizontal="center" vertical="center" wrapText="1" readingOrder="1"/>
    </xf>
    <xf numFmtId="0" fontId="30" fillId="0" borderId="56" xfId="0" applyFont="1" applyBorder="1" applyAlignment="1">
      <alignment horizontal="center" vertical="center" readingOrder="1"/>
    </xf>
    <xf numFmtId="0" fontId="30" fillId="0" borderId="52" xfId="0" applyFont="1" applyBorder="1" applyAlignment="1">
      <alignment horizontal="center" vertical="center" readingOrder="1"/>
    </xf>
    <xf numFmtId="0" fontId="30" fillId="0" borderId="53" xfId="0" applyFont="1" applyBorder="1" applyAlignment="1">
      <alignment horizontal="center" vertical="center" readingOrder="1"/>
    </xf>
    <xf numFmtId="0" fontId="30" fillId="0" borderId="52" xfId="0" applyFont="1" applyBorder="1" applyAlignment="1">
      <alignment horizontal="center" vertical="center" wrapText="1" readingOrder="1"/>
    </xf>
    <xf numFmtId="0" fontId="30" fillId="0" borderId="53" xfId="0" applyFont="1" applyBorder="1" applyAlignment="1">
      <alignment horizontal="center" vertical="center" wrapText="1" readingOrder="1"/>
    </xf>
    <xf numFmtId="0" fontId="33" fillId="0" borderId="56" xfId="0" applyFont="1" applyBorder="1" applyAlignment="1">
      <alignment horizontal="center" vertical="center" wrapText="1" readingOrder="1"/>
    </xf>
    <xf numFmtId="0" fontId="33" fillId="0" borderId="52" xfId="0" applyFont="1" applyBorder="1" applyAlignment="1">
      <alignment horizontal="center" vertical="center" wrapText="1" readingOrder="1"/>
    </xf>
    <xf numFmtId="0" fontId="33" fillId="0" borderId="53" xfId="0" applyFont="1" applyBorder="1" applyAlignment="1">
      <alignment horizontal="center" vertical="center" wrapText="1" readingOrder="1"/>
    </xf>
    <xf numFmtId="0" fontId="30" fillId="0" borderId="56" xfId="0" applyFont="1" applyBorder="1" applyAlignment="1">
      <alignment horizontal="center" vertical="center" wrapText="1" readingOrder="1"/>
    </xf>
    <xf numFmtId="0" fontId="0" fillId="0" borderId="11" xfId="0" applyFont="1" applyBorder="1" applyAlignment="1">
      <alignment horizontal="center"/>
    </xf>
    <xf numFmtId="0" fontId="19" fillId="6" borderId="1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F144"/>
  <sheetViews>
    <sheetView workbookViewId="0">
      <selection activeCell="F124" sqref="F124"/>
    </sheetView>
  </sheetViews>
  <sheetFormatPr baseColWidth="10" defaultColWidth="14.42578125" defaultRowHeight="15" customHeight="1"/>
  <cols>
    <col min="1" max="1" width="27.42578125" customWidth="1"/>
    <col min="2" max="2" width="49.28515625" customWidth="1"/>
    <col min="3" max="3" width="35.140625" customWidth="1"/>
    <col min="4" max="4" width="23.42578125" customWidth="1"/>
    <col min="5" max="5" width="25.140625" customWidth="1"/>
    <col min="6" max="11" width="10.7109375" customWidth="1"/>
  </cols>
  <sheetData>
    <row r="1" spans="1:5" ht="14.25" customHeight="1"/>
    <row r="2" spans="1:5" ht="14.25" customHeight="1"/>
    <row r="3" spans="1:5" ht="42.75" customHeight="1">
      <c r="A3" s="1" t="s">
        <v>0</v>
      </c>
      <c r="B3" s="2" t="s">
        <v>1</v>
      </c>
      <c r="C3" s="2" t="s">
        <v>2</v>
      </c>
      <c r="D3" s="2" t="s">
        <v>3</v>
      </c>
      <c r="E3" s="3" t="s">
        <v>4</v>
      </c>
    </row>
    <row r="4" spans="1:5" ht="14.25" customHeight="1">
      <c r="A4" s="4" t="s">
        <v>5</v>
      </c>
      <c r="B4" s="5" t="s">
        <v>6</v>
      </c>
      <c r="C4" s="6" t="s">
        <v>7</v>
      </c>
      <c r="D4" s="7">
        <v>3</v>
      </c>
      <c r="E4" s="8">
        <v>3</v>
      </c>
    </row>
    <row r="5" spans="1:5" ht="36.75" customHeight="1">
      <c r="A5" s="180" t="s">
        <v>8</v>
      </c>
      <c r="B5" s="9" t="s">
        <v>1</v>
      </c>
      <c r="C5" s="9" t="s">
        <v>2</v>
      </c>
      <c r="D5" s="9" t="s">
        <v>3</v>
      </c>
      <c r="E5" s="10" t="s">
        <v>4</v>
      </c>
    </row>
    <row r="6" spans="1:5" ht="14.25" customHeight="1">
      <c r="A6" s="181"/>
      <c r="B6" s="11" t="s">
        <v>9</v>
      </c>
      <c r="C6" s="12" t="s">
        <v>10</v>
      </c>
      <c r="D6" s="12">
        <v>150</v>
      </c>
      <c r="E6" s="13">
        <v>100</v>
      </c>
    </row>
    <row r="7" spans="1:5" ht="14.25" customHeight="1">
      <c r="A7" s="181"/>
      <c r="B7" s="11" t="s">
        <v>11</v>
      </c>
      <c r="C7" s="12" t="s">
        <v>12</v>
      </c>
      <c r="D7" s="12">
        <v>5</v>
      </c>
      <c r="E7" s="13">
        <v>5</v>
      </c>
    </row>
    <row r="8" spans="1:5" ht="14.25" customHeight="1">
      <c r="A8" s="181"/>
      <c r="B8" s="11" t="s">
        <v>13</v>
      </c>
      <c r="C8" s="12" t="s">
        <v>14</v>
      </c>
      <c r="D8" s="12">
        <v>13</v>
      </c>
      <c r="E8" s="13">
        <v>13</v>
      </c>
    </row>
    <row r="9" spans="1:5" ht="14.25" customHeight="1">
      <c r="A9" s="181"/>
      <c r="B9" s="14" t="s">
        <v>15</v>
      </c>
      <c r="C9" s="14" t="s">
        <v>16</v>
      </c>
      <c r="D9" s="15">
        <v>5</v>
      </c>
      <c r="E9" s="16">
        <v>5</v>
      </c>
    </row>
    <row r="10" spans="1:5" ht="14.25" customHeight="1">
      <c r="A10" s="181"/>
      <c r="B10" s="11" t="s">
        <v>17</v>
      </c>
      <c r="C10" s="12" t="s">
        <v>18</v>
      </c>
      <c r="D10" s="12">
        <v>71</v>
      </c>
      <c r="E10" s="13">
        <v>60</v>
      </c>
    </row>
    <row r="11" spans="1:5" ht="14.25" customHeight="1">
      <c r="A11" s="181"/>
      <c r="B11" s="11" t="s">
        <v>19</v>
      </c>
      <c r="C11" s="17" t="s">
        <v>20</v>
      </c>
      <c r="D11" s="15">
        <v>1.5</v>
      </c>
      <c r="E11" s="16">
        <v>1.5</v>
      </c>
    </row>
    <row r="12" spans="1:5" ht="14.25" customHeight="1">
      <c r="A12" s="181"/>
      <c r="B12" s="11" t="s">
        <v>19</v>
      </c>
      <c r="C12" s="17" t="s">
        <v>21</v>
      </c>
      <c r="D12" s="15">
        <v>1.5</v>
      </c>
      <c r="E12" s="16">
        <v>1.5</v>
      </c>
    </row>
    <row r="13" spans="1:5" ht="14.25" customHeight="1">
      <c r="A13" s="181"/>
      <c r="B13" s="11" t="s">
        <v>19</v>
      </c>
      <c r="C13" s="17" t="s">
        <v>22</v>
      </c>
      <c r="D13" s="15">
        <v>1.5</v>
      </c>
      <c r="E13" s="16">
        <v>1.5</v>
      </c>
    </row>
    <row r="14" spans="1:5" ht="14.25" customHeight="1">
      <c r="A14" s="181"/>
      <c r="B14" s="11" t="s">
        <v>19</v>
      </c>
      <c r="C14" s="17" t="s">
        <v>23</v>
      </c>
      <c r="D14" s="15">
        <v>1.5</v>
      </c>
      <c r="E14" s="16">
        <v>1.5</v>
      </c>
    </row>
    <row r="15" spans="1:5" ht="14.25" customHeight="1">
      <c r="A15" s="181"/>
      <c r="B15" s="11" t="s">
        <v>24</v>
      </c>
      <c r="C15" s="17" t="s">
        <v>25</v>
      </c>
      <c r="D15" s="15">
        <v>1.5</v>
      </c>
      <c r="E15" s="16">
        <v>1.5</v>
      </c>
    </row>
    <row r="16" spans="1:5" ht="14.25" customHeight="1">
      <c r="A16" s="184"/>
      <c r="B16" s="18" t="s">
        <v>26</v>
      </c>
      <c r="C16" s="19" t="s">
        <v>27</v>
      </c>
      <c r="D16" s="20">
        <v>1.5</v>
      </c>
      <c r="E16" s="21">
        <v>1.5</v>
      </c>
    </row>
    <row r="17" spans="1:6" ht="52.5" customHeight="1">
      <c r="A17" s="180" t="s">
        <v>28</v>
      </c>
      <c r="B17" s="22" t="s">
        <v>29</v>
      </c>
      <c r="C17" s="22" t="s">
        <v>30</v>
      </c>
      <c r="D17" s="22" t="s">
        <v>31</v>
      </c>
      <c r="E17" s="22" t="s">
        <v>32</v>
      </c>
      <c r="F17" s="23" t="s">
        <v>33</v>
      </c>
    </row>
    <row r="18" spans="1:6" ht="14.25" customHeight="1">
      <c r="A18" s="181"/>
      <c r="B18" s="182" t="s">
        <v>34</v>
      </c>
      <c r="C18" s="24" t="s">
        <v>35</v>
      </c>
      <c r="D18" s="25">
        <v>3400</v>
      </c>
      <c r="E18" s="171">
        <v>13</v>
      </c>
      <c r="F18" s="177">
        <v>15670</v>
      </c>
    </row>
    <row r="19" spans="1:6" ht="14.25" customHeight="1">
      <c r="A19" s="181"/>
      <c r="B19" s="175"/>
      <c r="C19" s="24" t="s">
        <v>35</v>
      </c>
      <c r="D19" s="25">
        <v>1000</v>
      </c>
      <c r="E19" s="175"/>
      <c r="F19" s="178"/>
    </row>
    <row r="20" spans="1:6" ht="14.25" customHeight="1">
      <c r="A20" s="181"/>
      <c r="B20" s="175"/>
      <c r="C20" s="24" t="s">
        <v>35</v>
      </c>
      <c r="D20" s="25">
        <v>2500</v>
      </c>
      <c r="E20" s="175"/>
      <c r="F20" s="178"/>
    </row>
    <row r="21" spans="1:6" ht="14.25" customHeight="1">
      <c r="A21" s="181"/>
      <c r="B21" s="172"/>
      <c r="C21" s="24" t="s">
        <v>35</v>
      </c>
      <c r="D21" s="25">
        <v>200</v>
      </c>
      <c r="E21" s="172"/>
      <c r="F21" s="178"/>
    </row>
    <row r="22" spans="1:6" ht="14.25" customHeight="1">
      <c r="A22" s="181"/>
      <c r="B22" s="26" t="s">
        <v>36</v>
      </c>
      <c r="C22" s="24" t="s">
        <v>35</v>
      </c>
      <c r="D22" s="25">
        <v>250</v>
      </c>
      <c r="E22" s="27" t="s">
        <v>37</v>
      </c>
      <c r="F22" s="178"/>
    </row>
    <row r="23" spans="1:6" ht="14.25" customHeight="1">
      <c r="A23" s="181"/>
      <c r="B23" s="182" t="s">
        <v>38</v>
      </c>
      <c r="C23" s="24" t="s">
        <v>35</v>
      </c>
      <c r="D23" s="25">
        <v>800</v>
      </c>
      <c r="E23" s="171">
        <v>12</v>
      </c>
      <c r="F23" s="178"/>
    </row>
    <row r="24" spans="1:6" ht="14.25" customHeight="1">
      <c r="A24" s="181"/>
      <c r="B24" s="172"/>
      <c r="C24" s="24" t="s">
        <v>35</v>
      </c>
      <c r="D24" s="25">
        <v>1500</v>
      </c>
      <c r="E24" s="172"/>
      <c r="F24" s="178"/>
    </row>
    <row r="25" spans="1:6" ht="14.25" customHeight="1">
      <c r="A25" s="181"/>
      <c r="B25" s="26" t="s">
        <v>39</v>
      </c>
      <c r="C25" s="24" t="s">
        <v>35</v>
      </c>
      <c r="D25" s="25">
        <v>1500</v>
      </c>
      <c r="E25" s="27" t="s">
        <v>37</v>
      </c>
      <c r="F25" s="178"/>
    </row>
    <row r="26" spans="1:6" ht="14.25" customHeight="1">
      <c r="A26" s="181"/>
      <c r="B26" s="26" t="s">
        <v>40</v>
      </c>
      <c r="C26" s="24" t="s">
        <v>35</v>
      </c>
      <c r="D26" s="25">
        <v>300</v>
      </c>
      <c r="E26" s="27">
        <v>25</v>
      </c>
      <c r="F26" s="178"/>
    </row>
    <row r="27" spans="1:6" ht="14.25" customHeight="1">
      <c r="A27" s="181"/>
      <c r="B27" s="182" t="s">
        <v>11</v>
      </c>
      <c r="C27" s="24" t="s">
        <v>35</v>
      </c>
      <c r="D27" s="25">
        <v>280</v>
      </c>
      <c r="E27" s="171">
        <v>8</v>
      </c>
      <c r="F27" s="178"/>
    </row>
    <row r="28" spans="1:6" ht="14.25" customHeight="1">
      <c r="A28" s="181"/>
      <c r="B28" s="172"/>
      <c r="C28" s="24" t="s">
        <v>35</v>
      </c>
      <c r="D28" s="25">
        <v>600</v>
      </c>
      <c r="E28" s="172"/>
      <c r="F28" s="178"/>
    </row>
    <row r="29" spans="1:6" ht="14.25" customHeight="1">
      <c r="A29" s="181"/>
      <c r="B29" s="26" t="s">
        <v>41</v>
      </c>
      <c r="C29" s="24" t="s">
        <v>35</v>
      </c>
      <c r="D29" s="25">
        <v>300</v>
      </c>
      <c r="E29" s="27">
        <v>21</v>
      </c>
      <c r="F29" s="178"/>
    </row>
    <row r="30" spans="1:6" ht="14.25" customHeight="1">
      <c r="A30" s="181"/>
      <c r="B30" s="26" t="s">
        <v>42</v>
      </c>
      <c r="C30" s="24" t="s">
        <v>35</v>
      </c>
      <c r="D30" s="25">
        <v>100</v>
      </c>
      <c r="E30" s="27">
        <v>24</v>
      </c>
      <c r="F30" s="178"/>
    </row>
    <row r="31" spans="1:6" ht="14.25" customHeight="1">
      <c r="A31" s="181"/>
      <c r="B31" s="182" t="s">
        <v>43</v>
      </c>
      <c r="C31" s="24" t="s">
        <v>35</v>
      </c>
      <c r="D31" s="25">
        <v>420</v>
      </c>
      <c r="E31" s="171">
        <v>21</v>
      </c>
      <c r="F31" s="178"/>
    </row>
    <row r="32" spans="1:6" ht="14.25" customHeight="1">
      <c r="A32" s="181"/>
      <c r="B32" s="172"/>
      <c r="C32" s="28" t="s">
        <v>44</v>
      </c>
      <c r="D32" s="25">
        <v>60</v>
      </c>
      <c r="E32" s="172"/>
      <c r="F32" s="178"/>
    </row>
    <row r="33" spans="1:6" ht="14.25" customHeight="1">
      <c r="A33" s="181"/>
      <c r="B33" s="26" t="s">
        <v>45</v>
      </c>
      <c r="C33" s="24" t="s">
        <v>46</v>
      </c>
      <c r="D33" s="25">
        <v>200</v>
      </c>
      <c r="E33" s="27">
        <v>20</v>
      </c>
      <c r="F33" s="178"/>
    </row>
    <row r="34" spans="1:6" ht="14.25" customHeight="1">
      <c r="A34" s="181"/>
      <c r="B34" s="26" t="s">
        <v>47</v>
      </c>
      <c r="C34" s="24" t="s">
        <v>48</v>
      </c>
      <c r="D34" s="25">
        <v>400</v>
      </c>
      <c r="E34" s="27">
        <v>8</v>
      </c>
      <c r="F34" s="178"/>
    </row>
    <row r="35" spans="1:6" ht="14.25" customHeight="1">
      <c r="A35" s="181"/>
      <c r="B35" s="26" t="s">
        <v>49</v>
      </c>
      <c r="C35" s="24" t="s">
        <v>50</v>
      </c>
      <c r="D35" s="25">
        <v>150</v>
      </c>
      <c r="E35" s="27">
        <v>24</v>
      </c>
      <c r="F35" s="178"/>
    </row>
    <row r="36" spans="1:6" ht="14.25" customHeight="1">
      <c r="A36" s="181"/>
      <c r="B36" s="26" t="s">
        <v>51</v>
      </c>
      <c r="C36" s="24" t="s">
        <v>52</v>
      </c>
      <c r="D36" s="25">
        <v>200</v>
      </c>
      <c r="E36" s="27">
        <v>24</v>
      </c>
      <c r="F36" s="178"/>
    </row>
    <row r="37" spans="1:6" ht="14.25" customHeight="1">
      <c r="A37" s="181"/>
      <c r="B37" s="173" t="s">
        <v>53</v>
      </c>
      <c r="C37" s="24" t="s">
        <v>54</v>
      </c>
      <c r="D37" s="25">
        <v>20</v>
      </c>
      <c r="E37" s="171">
        <v>24</v>
      </c>
      <c r="F37" s="178"/>
    </row>
    <row r="38" spans="1:6" ht="14.25" customHeight="1">
      <c r="A38" s="181"/>
      <c r="B38" s="172"/>
      <c r="C38" s="24" t="s">
        <v>55</v>
      </c>
      <c r="D38" s="25">
        <v>20</v>
      </c>
      <c r="E38" s="172"/>
      <c r="F38" s="178"/>
    </row>
    <row r="39" spans="1:6" ht="14.25" customHeight="1">
      <c r="A39" s="181"/>
      <c r="B39" s="173" t="s">
        <v>56</v>
      </c>
      <c r="C39" s="24" t="s">
        <v>57</v>
      </c>
      <c r="D39" s="25">
        <v>200</v>
      </c>
      <c r="E39" s="171">
        <v>11</v>
      </c>
      <c r="F39" s="178"/>
    </row>
    <row r="40" spans="1:6" ht="14.25" customHeight="1">
      <c r="A40" s="181"/>
      <c r="B40" s="172"/>
      <c r="C40" s="24" t="s">
        <v>58</v>
      </c>
      <c r="D40" s="25">
        <v>380</v>
      </c>
      <c r="E40" s="172"/>
      <c r="F40" s="178"/>
    </row>
    <row r="41" spans="1:6" ht="14.25" customHeight="1">
      <c r="A41" s="181"/>
      <c r="B41" s="26" t="s">
        <v>59</v>
      </c>
      <c r="C41" s="24" t="s">
        <v>60</v>
      </c>
      <c r="D41" s="25">
        <v>20</v>
      </c>
      <c r="E41" s="27">
        <v>24</v>
      </c>
      <c r="F41" s="178"/>
    </row>
    <row r="42" spans="1:6" ht="14.25" customHeight="1">
      <c r="A42" s="181"/>
      <c r="B42" s="173" t="s">
        <v>61</v>
      </c>
      <c r="C42" s="24" t="s">
        <v>62</v>
      </c>
      <c r="D42" s="25">
        <v>300</v>
      </c>
      <c r="E42" s="171">
        <v>16</v>
      </c>
      <c r="F42" s="178"/>
    </row>
    <row r="43" spans="1:6" ht="14.25" customHeight="1">
      <c r="A43" s="181"/>
      <c r="B43" s="175"/>
      <c r="C43" s="24" t="s">
        <v>63</v>
      </c>
      <c r="D43" s="25">
        <v>500</v>
      </c>
      <c r="E43" s="175"/>
      <c r="F43" s="178"/>
    </row>
    <row r="44" spans="1:6" ht="14.25" customHeight="1">
      <c r="A44" s="181"/>
      <c r="B44" s="172"/>
      <c r="C44" s="24" t="s">
        <v>63</v>
      </c>
      <c r="D44" s="25">
        <v>500</v>
      </c>
      <c r="E44" s="172"/>
      <c r="F44" s="178"/>
    </row>
    <row r="45" spans="1:6" ht="14.25" customHeight="1">
      <c r="A45" s="181"/>
      <c r="B45" s="29" t="s">
        <v>64</v>
      </c>
      <c r="C45" s="24" t="s">
        <v>65</v>
      </c>
      <c r="D45" s="25">
        <v>20</v>
      </c>
      <c r="E45" s="27">
        <v>24</v>
      </c>
      <c r="F45" s="178"/>
    </row>
    <row r="46" spans="1:6" ht="14.25" customHeight="1">
      <c r="A46" s="181"/>
      <c r="B46" s="29" t="s">
        <v>66</v>
      </c>
      <c r="C46" s="24" t="s">
        <v>67</v>
      </c>
      <c r="D46" s="25">
        <v>500</v>
      </c>
      <c r="E46" s="27">
        <v>17</v>
      </c>
      <c r="F46" s="178"/>
    </row>
    <row r="47" spans="1:6" ht="14.25" customHeight="1">
      <c r="A47" s="181"/>
      <c r="B47" s="173" t="s">
        <v>68</v>
      </c>
      <c r="C47" s="24" t="s">
        <v>69</v>
      </c>
      <c r="D47" s="25">
        <v>400</v>
      </c>
      <c r="E47" s="171">
        <v>10</v>
      </c>
      <c r="F47" s="178"/>
    </row>
    <row r="48" spans="1:6" ht="14.25" customHeight="1">
      <c r="A48" s="185"/>
      <c r="B48" s="183"/>
      <c r="C48" s="30" t="s">
        <v>70</v>
      </c>
      <c r="D48" s="31">
        <v>400</v>
      </c>
      <c r="E48" s="183"/>
      <c r="F48" s="179"/>
    </row>
    <row r="49" spans="1:6" ht="14.25" customHeight="1">
      <c r="A49" s="180" t="s">
        <v>10</v>
      </c>
      <c r="B49" s="22" t="s">
        <v>29</v>
      </c>
      <c r="C49" s="22" t="s">
        <v>71</v>
      </c>
      <c r="D49" s="22" t="s">
        <v>72</v>
      </c>
      <c r="E49" s="22" t="s">
        <v>73</v>
      </c>
      <c r="F49" s="23" t="s">
        <v>74</v>
      </c>
    </row>
    <row r="50" spans="1:6" ht="14.25" customHeight="1">
      <c r="A50" s="181"/>
      <c r="B50" s="14" t="s">
        <v>34</v>
      </c>
      <c r="C50" s="174">
        <v>240</v>
      </c>
      <c r="D50" s="186">
        <v>330</v>
      </c>
      <c r="E50" s="174">
        <v>446</v>
      </c>
      <c r="F50" s="177">
        <v>853.96</v>
      </c>
    </row>
    <row r="51" spans="1:6" ht="14.25" customHeight="1">
      <c r="A51" s="181"/>
      <c r="B51" s="14" t="s">
        <v>9</v>
      </c>
      <c r="C51" s="172"/>
      <c r="D51" s="172"/>
      <c r="E51" s="175"/>
      <c r="F51" s="178"/>
    </row>
    <row r="52" spans="1:6" ht="14.25" customHeight="1">
      <c r="A52" s="181"/>
      <c r="B52" s="14" t="s">
        <v>38</v>
      </c>
      <c r="C52" s="32">
        <v>65</v>
      </c>
      <c r="D52" s="33">
        <v>105.56</v>
      </c>
      <c r="E52" s="175"/>
      <c r="F52" s="178"/>
    </row>
    <row r="53" spans="1:6" ht="14.25" customHeight="1">
      <c r="A53" s="181"/>
      <c r="B53" s="14" t="s">
        <v>40</v>
      </c>
      <c r="C53" s="32">
        <v>3</v>
      </c>
      <c r="D53" s="33">
        <v>8.8000000000000007</v>
      </c>
      <c r="E53" s="175"/>
      <c r="F53" s="178"/>
    </row>
    <row r="54" spans="1:6" ht="14.25" customHeight="1">
      <c r="A54" s="181"/>
      <c r="B54" s="14" t="s">
        <v>11</v>
      </c>
      <c r="C54" s="32">
        <v>30</v>
      </c>
      <c r="D54" s="33">
        <v>43.16</v>
      </c>
      <c r="E54" s="175"/>
      <c r="F54" s="178"/>
    </row>
    <row r="55" spans="1:6" ht="14.25" customHeight="1">
      <c r="A55" s="181"/>
      <c r="B55" s="14" t="s">
        <v>41</v>
      </c>
      <c r="C55" s="32">
        <v>4</v>
      </c>
      <c r="D55" s="33">
        <v>16.670000000000002</v>
      </c>
      <c r="E55" s="175"/>
      <c r="F55" s="178"/>
    </row>
    <row r="56" spans="1:6" ht="14.25" customHeight="1">
      <c r="A56" s="181"/>
      <c r="B56" s="14" t="s">
        <v>42</v>
      </c>
      <c r="C56" s="32">
        <v>1</v>
      </c>
      <c r="D56" s="33">
        <v>4.1500000000000004</v>
      </c>
      <c r="E56" s="175"/>
      <c r="F56" s="178"/>
    </row>
    <row r="57" spans="1:6" ht="14.25" customHeight="1">
      <c r="A57" s="181"/>
      <c r="B57" s="14" t="s">
        <v>43</v>
      </c>
      <c r="C57" s="32">
        <v>8</v>
      </c>
      <c r="D57" s="33">
        <v>20.85</v>
      </c>
      <c r="E57" s="175"/>
      <c r="F57" s="178"/>
    </row>
    <row r="58" spans="1:6" ht="14.25" customHeight="1">
      <c r="A58" s="181"/>
      <c r="B58" s="14" t="s">
        <v>45</v>
      </c>
      <c r="C58" s="32">
        <v>4</v>
      </c>
      <c r="D58" s="33">
        <v>16.100000000000001</v>
      </c>
      <c r="E58" s="175"/>
      <c r="F58" s="178"/>
    </row>
    <row r="59" spans="1:6" ht="14.25" customHeight="1">
      <c r="A59" s="181"/>
      <c r="B59" s="14" t="s">
        <v>75</v>
      </c>
      <c r="C59" s="32">
        <v>1</v>
      </c>
      <c r="D59" s="33">
        <v>2.5</v>
      </c>
      <c r="E59" s="175"/>
      <c r="F59" s="178"/>
    </row>
    <row r="60" spans="1:6" ht="14.25" customHeight="1">
      <c r="A60" s="181"/>
      <c r="B60" s="14" t="s">
        <v>47</v>
      </c>
      <c r="C60" s="32">
        <v>15</v>
      </c>
      <c r="D60" s="33">
        <v>23.16</v>
      </c>
      <c r="E60" s="175"/>
      <c r="F60" s="178"/>
    </row>
    <row r="61" spans="1:6" ht="14.25" customHeight="1">
      <c r="A61" s="181"/>
      <c r="B61" s="14" t="s">
        <v>49</v>
      </c>
      <c r="C61" s="32">
        <v>1</v>
      </c>
      <c r="D61" s="33">
        <v>7</v>
      </c>
      <c r="E61" s="175"/>
      <c r="F61" s="178"/>
    </row>
    <row r="62" spans="1:6" ht="14.25" customHeight="1">
      <c r="A62" s="181"/>
      <c r="B62" s="14" t="s">
        <v>76</v>
      </c>
      <c r="C62" s="174">
        <v>50</v>
      </c>
      <c r="D62" s="33">
        <v>8.08</v>
      </c>
      <c r="E62" s="175"/>
      <c r="F62" s="178"/>
    </row>
    <row r="63" spans="1:6" ht="14.25" customHeight="1">
      <c r="A63" s="181"/>
      <c r="B63" s="14" t="s">
        <v>56</v>
      </c>
      <c r="C63" s="175"/>
      <c r="D63" s="33">
        <v>35.44</v>
      </c>
      <c r="E63" s="175"/>
      <c r="F63" s="178"/>
    </row>
    <row r="64" spans="1:6" ht="14.25" customHeight="1">
      <c r="A64" s="181"/>
      <c r="B64" s="14" t="s">
        <v>61</v>
      </c>
      <c r="C64" s="175"/>
      <c r="D64" s="33">
        <v>53.11</v>
      </c>
      <c r="E64" s="175"/>
      <c r="F64" s="178"/>
    </row>
    <row r="65" spans="1:6" ht="14.25" customHeight="1">
      <c r="A65" s="181"/>
      <c r="B65" s="14" t="s">
        <v>66</v>
      </c>
      <c r="C65" s="175"/>
      <c r="D65" s="33">
        <v>35.15</v>
      </c>
      <c r="E65" s="175"/>
      <c r="F65" s="178"/>
    </row>
    <row r="66" spans="1:6" ht="14.25" customHeight="1">
      <c r="A66" s="181"/>
      <c r="B66" s="14" t="s">
        <v>77</v>
      </c>
      <c r="C66" s="172"/>
      <c r="D66" s="33">
        <v>120</v>
      </c>
      <c r="E66" s="175"/>
      <c r="F66" s="178"/>
    </row>
    <row r="67" spans="1:6" ht="14.25" customHeight="1" thickBot="1">
      <c r="A67" s="181"/>
      <c r="B67" s="95" t="s">
        <v>68</v>
      </c>
      <c r="C67" s="96">
        <v>24</v>
      </c>
      <c r="D67" s="97">
        <v>24.23</v>
      </c>
      <c r="E67" s="176"/>
      <c r="F67" s="179"/>
    </row>
    <row r="68" spans="1:6" ht="33" customHeight="1" thickBot="1">
      <c r="A68" s="161" t="s">
        <v>394</v>
      </c>
      <c r="B68" s="162"/>
      <c r="C68" s="162"/>
      <c r="D68" s="162"/>
      <c r="E68" s="163"/>
    </row>
    <row r="69" spans="1:6" ht="30" customHeight="1" thickBot="1">
      <c r="A69" s="102" t="s">
        <v>339</v>
      </c>
      <c r="B69" s="98" t="s">
        <v>340</v>
      </c>
      <c r="C69" s="99" t="s">
        <v>341</v>
      </c>
      <c r="D69" s="100">
        <v>20</v>
      </c>
      <c r="E69" s="101">
        <v>20</v>
      </c>
    </row>
    <row r="70" spans="1:6" ht="14.25" customHeight="1" thickBot="1">
      <c r="A70" s="168" t="s">
        <v>8</v>
      </c>
      <c r="B70" s="94" t="s">
        <v>1</v>
      </c>
      <c r="C70" s="92" t="s">
        <v>2</v>
      </c>
      <c r="D70" s="92" t="s">
        <v>3</v>
      </c>
      <c r="E70" s="93" t="s">
        <v>4</v>
      </c>
    </row>
    <row r="71" spans="1:6" ht="14.25" customHeight="1" thickBot="1">
      <c r="A71" s="168"/>
      <c r="B71" s="91" t="s">
        <v>208</v>
      </c>
      <c r="C71" s="91" t="s">
        <v>18</v>
      </c>
      <c r="D71" s="89">
        <f>17+17</f>
        <v>34</v>
      </c>
      <c r="E71" s="89">
        <f>17+17</f>
        <v>34</v>
      </c>
    </row>
    <row r="72" spans="1:6" ht="14.25" customHeight="1">
      <c r="A72" s="168"/>
      <c r="B72" s="91" t="s">
        <v>252</v>
      </c>
      <c r="C72" s="91" t="s">
        <v>342</v>
      </c>
      <c r="D72" s="90">
        <f>8+4+4</f>
        <v>16</v>
      </c>
      <c r="E72" s="90">
        <f>8+4+4</f>
        <v>16</v>
      </c>
    </row>
    <row r="73" spans="1:6" ht="14.25" customHeight="1">
      <c r="A73" s="168"/>
      <c r="B73" s="91" t="s">
        <v>343</v>
      </c>
      <c r="C73" s="91" t="s">
        <v>18</v>
      </c>
      <c r="D73" s="91">
        <f>1.61*2+2.77*2</f>
        <v>8.76</v>
      </c>
      <c r="E73" s="91">
        <f>1.61*2+2.77*2</f>
        <v>8.76</v>
      </c>
    </row>
    <row r="74" spans="1:6" ht="14.25" customHeight="1">
      <c r="A74" s="168"/>
      <c r="B74" s="170" t="s">
        <v>344</v>
      </c>
      <c r="C74" s="91" t="s">
        <v>342</v>
      </c>
      <c r="D74" s="91">
        <v>7</v>
      </c>
      <c r="E74" s="91">
        <v>7</v>
      </c>
    </row>
    <row r="75" spans="1:6" ht="14.25" customHeight="1">
      <c r="A75" s="168"/>
      <c r="B75" s="170"/>
      <c r="C75" s="91" t="s">
        <v>345</v>
      </c>
      <c r="D75" s="91">
        <v>7</v>
      </c>
      <c r="E75" s="91">
        <v>7</v>
      </c>
    </row>
    <row r="76" spans="1:6" ht="14.25" customHeight="1">
      <c r="A76" s="168"/>
      <c r="B76" s="170"/>
      <c r="C76" s="91" t="s">
        <v>14</v>
      </c>
      <c r="D76" s="91">
        <v>3</v>
      </c>
      <c r="E76" s="91">
        <v>3</v>
      </c>
    </row>
    <row r="77" spans="1:6" ht="14.25" customHeight="1">
      <c r="A77" s="168"/>
      <c r="B77" s="170" t="s">
        <v>300</v>
      </c>
      <c r="C77" s="91" t="s">
        <v>346</v>
      </c>
      <c r="D77" s="91">
        <v>13.5</v>
      </c>
      <c r="E77" s="91">
        <v>13.5</v>
      </c>
    </row>
    <row r="78" spans="1:6" ht="14.25" customHeight="1">
      <c r="A78" s="168"/>
      <c r="B78" s="170"/>
      <c r="C78" s="91" t="s">
        <v>342</v>
      </c>
      <c r="D78" s="91">
        <v>5.0999999999999996</v>
      </c>
      <c r="E78" s="91">
        <v>5.0999999999999996</v>
      </c>
    </row>
    <row r="79" spans="1:6" ht="14.25" customHeight="1">
      <c r="A79" s="168"/>
      <c r="B79" s="170" t="s">
        <v>347</v>
      </c>
      <c r="C79" s="91" t="s">
        <v>342</v>
      </c>
      <c r="D79" s="91"/>
      <c r="E79" s="91"/>
    </row>
    <row r="80" spans="1:6" ht="14.25" customHeight="1">
      <c r="A80" s="168"/>
      <c r="B80" s="170"/>
      <c r="C80" s="91" t="s">
        <v>346</v>
      </c>
      <c r="D80" s="91">
        <f>20+20</f>
        <v>40</v>
      </c>
      <c r="E80" s="91">
        <f>20+20</f>
        <v>40</v>
      </c>
    </row>
    <row r="81" spans="1:5" ht="14.25" customHeight="1">
      <c r="A81" s="168"/>
      <c r="B81" s="170" t="s">
        <v>262</v>
      </c>
      <c r="C81" s="91" t="s">
        <v>348</v>
      </c>
      <c r="D81" s="91">
        <f>1.38+3.88</f>
        <v>5.26</v>
      </c>
      <c r="E81" s="91">
        <f>1.38+3.88</f>
        <v>5.26</v>
      </c>
    </row>
    <row r="82" spans="1:5" ht="14.25" customHeight="1">
      <c r="A82" s="168"/>
      <c r="B82" s="170"/>
      <c r="C82" s="91" t="s">
        <v>349</v>
      </c>
      <c r="D82" s="91">
        <f>0.67+2.36</f>
        <v>3.03</v>
      </c>
      <c r="E82" s="91">
        <f>0.67+2.36</f>
        <v>3.03</v>
      </c>
    </row>
    <row r="83" spans="1:5" ht="14.25" customHeight="1">
      <c r="A83" s="168"/>
      <c r="B83" s="170"/>
      <c r="C83" s="91" t="s">
        <v>350</v>
      </c>
      <c r="D83" s="91">
        <v>11</v>
      </c>
      <c r="E83" s="91">
        <v>11</v>
      </c>
    </row>
    <row r="84" spans="1:5" ht="14.25" customHeight="1">
      <c r="A84" s="168"/>
      <c r="B84" s="91" t="s">
        <v>298</v>
      </c>
      <c r="C84" s="91" t="s">
        <v>351</v>
      </c>
      <c r="D84" s="91">
        <v>4</v>
      </c>
      <c r="E84" s="91">
        <v>4</v>
      </c>
    </row>
    <row r="85" spans="1:5" ht="14.25" customHeight="1">
      <c r="A85" s="168"/>
      <c r="B85" s="170" t="s">
        <v>258</v>
      </c>
      <c r="C85" s="91" t="s">
        <v>352</v>
      </c>
      <c r="D85" s="91" t="s">
        <v>365</v>
      </c>
      <c r="E85" s="91" t="s">
        <v>365</v>
      </c>
    </row>
    <row r="86" spans="1:5" ht="14.25" customHeight="1">
      <c r="A86" s="168"/>
      <c r="B86" s="170"/>
      <c r="C86" s="91" t="s">
        <v>345</v>
      </c>
      <c r="D86" s="91" t="s">
        <v>366</v>
      </c>
      <c r="E86" s="91" t="s">
        <v>366</v>
      </c>
    </row>
    <row r="87" spans="1:5" ht="14.25" customHeight="1">
      <c r="A87" s="168"/>
      <c r="B87" s="170" t="s">
        <v>271</v>
      </c>
      <c r="C87" s="91" t="s">
        <v>353</v>
      </c>
      <c r="D87" s="91" t="s">
        <v>367</v>
      </c>
      <c r="E87" s="91" t="s">
        <v>367</v>
      </c>
    </row>
    <row r="88" spans="1:5" ht="14.25" customHeight="1">
      <c r="A88" s="168"/>
      <c r="B88" s="170"/>
      <c r="C88" s="91" t="s">
        <v>354</v>
      </c>
      <c r="D88" s="91">
        <v>3</v>
      </c>
      <c r="E88" s="91">
        <v>3</v>
      </c>
    </row>
    <row r="89" spans="1:5" ht="14.25" customHeight="1">
      <c r="A89" s="168"/>
      <c r="B89" s="170" t="s">
        <v>288</v>
      </c>
      <c r="C89" s="91" t="s">
        <v>346</v>
      </c>
      <c r="D89" s="91">
        <v>11.66</v>
      </c>
      <c r="E89" s="91">
        <v>11.66</v>
      </c>
    </row>
    <row r="90" spans="1:5" ht="14.25" customHeight="1">
      <c r="A90" s="168"/>
      <c r="B90" s="170"/>
      <c r="C90" s="91" t="s">
        <v>342</v>
      </c>
      <c r="D90" s="91">
        <v>8.32</v>
      </c>
      <c r="E90" s="91">
        <v>8.32</v>
      </c>
    </row>
    <row r="91" spans="1:5" ht="14.25" customHeight="1">
      <c r="A91" s="168"/>
      <c r="B91" s="170" t="s">
        <v>355</v>
      </c>
      <c r="C91" s="91" t="s">
        <v>356</v>
      </c>
      <c r="D91" s="91"/>
      <c r="E91" s="91"/>
    </row>
    <row r="92" spans="1:5" ht="14.25" customHeight="1">
      <c r="A92" s="168"/>
      <c r="B92" s="170"/>
      <c r="C92" s="91" t="s">
        <v>357</v>
      </c>
      <c r="D92" s="91"/>
      <c r="E92" s="91"/>
    </row>
    <row r="93" spans="1:5" ht="14.25" customHeight="1">
      <c r="A93" s="168"/>
      <c r="B93" s="91" t="s">
        <v>358</v>
      </c>
      <c r="C93" s="91" t="s">
        <v>18</v>
      </c>
      <c r="D93" s="91">
        <v>5</v>
      </c>
      <c r="E93" s="91">
        <v>5</v>
      </c>
    </row>
    <row r="94" spans="1:5" ht="14.25" customHeight="1">
      <c r="A94" s="168"/>
      <c r="B94" s="91" t="s">
        <v>247</v>
      </c>
      <c r="C94" s="91" t="s">
        <v>359</v>
      </c>
      <c r="D94" s="91">
        <v>3.65</v>
      </c>
      <c r="E94" s="91">
        <v>3.65</v>
      </c>
    </row>
    <row r="95" spans="1:5" ht="14.25" customHeight="1">
      <c r="A95" s="168"/>
      <c r="B95" s="170" t="s">
        <v>360</v>
      </c>
      <c r="C95" s="91" t="s">
        <v>359</v>
      </c>
      <c r="D95" s="91">
        <v>3.65</v>
      </c>
      <c r="E95" s="91">
        <v>3.65</v>
      </c>
    </row>
    <row r="96" spans="1:5" ht="14.25" customHeight="1">
      <c r="A96" s="168"/>
      <c r="B96" s="170"/>
      <c r="C96" s="91" t="s">
        <v>361</v>
      </c>
      <c r="D96" s="91"/>
      <c r="E96" s="91"/>
    </row>
    <row r="97" spans="1:6" ht="14.25" customHeight="1">
      <c r="A97" s="168"/>
      <c r="B97" s="170" t="s">
        <v>362</v>
      </c>
      <c r="C97" s="91" t="s">
        <v>359</v>
      </c>
      <c r="D97" s="91">
        <v>3</v>
      </c>
      <c r="E97" s="91">
        <v>3</v>
      </c>
    </row>
    <row r="98" spans="1:6" ht="14.25" customHeight="1">
      <c r="A98" s="168"/>
      <c r="B98" s="170"/>
      <c r="C98" s="91" t="s">
        <v>359</v>
      </c>
      <c r="D98" s="91">
        <v>4</v>
      </c>
      <c r="E98" s="91">
        <v>4</v>
      </c>
    </row>
    <row r="99" spans="1:6" ht="14.25" customHeight="1">
      <c r="A99" s="168"/>
      <c r="B99" s="170" t="s">
        <v>236</v>
      </c>
      <c r="C99" s="91" t="s">
        <v>363</v>
      </c>
      <c r="D99" s="91">
        <v>9.4</v>
      </c>
      <c r="E99" s="91">
        <v>9.4</v>
      </c>
    </row>
    <row r="100" spans="1:6" ht="14.25" customHeight="1" thickBot="1">
      <c r="A100" s="168"/>
      <c r="B100" s="170"/>
      <c r="C100" s="91" t="s">
        <v>364</v>
      </c>
      <c r="D100" s="91">
        <v>5.6</v>
      </c>
      <c r="E100" s="91">
        <v>5.6</v>
      </c>
    </row>
    <row r="101" spans="1:6" ht="25.5" customHeight="1">
      <c r="A101" s="164" t="s">
        <v>28</v>
      </c>
      <c r="B101" s="22" t="s">
        <v>29</v>
      </c>
      <c r="C101" s="22" t="s">
        <v>30</v>
      </c>
      <c r="D101" s="22" t="s">
        <v>31</v>
      </c>
      <c r="E101" s="22" t="s">
        <v>32</v>
      </c>
      <c r="F101" s="23" t="s">
        <v>33</v>
      </c>
    </row>
    <row r="102" spans="1:6" ht="15" customHeight="1">
      <c r="A102" s="165"/>
      <c r="B102" s="91" t="s">
        <v>368</v>
      </c>
      <c r="C102" s="91" t="s">
        <v>384</v>
      </c>
      <c r="D102" s="91">
        <v>5900</v>
      </c>
      <c r="E102" s="91">
        <v>24</v>
      </c>
      <c r="F102" s="166">
        <v>17739</v>
      </c>
    </row>
    <row r="103" spans="1:6" ht="15" customHeight="1">
      <c r="A103" s="165"/>
      <c r="B103" s="91" t="s">
        <v>369</v>
      </c>
      <c r="C103" s="91" t="s">
        <v>385</v>
      </c>
      <c r="D103" s="91">
        <v>2500</v>
      </c>
      <c r="E103" s="91">
        <v>20</v>
      </c>
      <c r="F103" s="167"/>
    </row>
    <row r="104" spans="1:6" ht="15" customHeight="1">
      <c r="A104" s="165"/>
      <c r="B104" s="91" t="s">
        <v>340</v>
      </c>
      <c r="C104" s="91" t="s">
        <v>386</v>
      </c>
      <c r="D104" s="91">
        <v>640</v>
      </c>
      <c r="E104" s="91">
        <v>22</v>
      </c>
      <c r="F104" s="167"/>
    </row>
    <row r="105" spans="1:6" ht="15" customHeight="1">
      <c r="A105" s="165"/>
      <c r="B105" s="91" t="s">
        <v>370</v>
      </c>
      <c r="C105" s="91" t="s">
        <v>386</v>
      </c>
      <c r="D105" s="91">
        <v>1080</v>
      </c>
      <c r="E105" s="91">
        <v>20</v>
      </c>
      <c r="F105" s="167"/>
    </row>
    <row r="106" spans="1:6" ht="15" customHeight="1">
      <c r="A106" s="165"/>
      <c r="B106" s="91" t="s">
        <v>371</v>
      </c>
      <c r="C106" s="91" t="s">
        <v>387</v>
      </c>
      <c r="D106" s="91">
        <v>1145</v>
      </c>
      <c r="E106" s="91">
        <v>20</v>
      </c>
      <c r="F106" s="167"/>
    </row>
    <row r="107" spans="1:6" ht="15" customHeight="1">
      <c r="A107" s="165"/>
      <c r="B107" s="91" t="s">
        <v>372</v>
      </c>
      <c r="C107" s="91" t="s">
        <v>388</v>
      </c>
      <c r="D107" s="91">
        <v>250</v>
      </c>
      <c r="E107" s="91">
        <v>18</v>
      </c>
      <c r="F107" s="167"/>
    </row>
    <row r="108" spans="1:6" ht="15" customHeight="1">
      <c r="A108" s="165"/>
      <c r="B108" s="91" t="s">
        <v>373</v>
      </c>
      <c r="C108" s="91" t="s">
        <v>386</v>
      </c>
      <c r="D108" s="91">
        <v>350</v>
      </c>
      <c r="E108" s="91">
        <v>24</v>
      </c>
      <c r="F108" s="167"/>
    </row>
    <row r="109" spans="1:6" ht="15" customHeight="1">
      <c r="A109" s="165"/>
      <c r="B109" s="91" t="s">
        <v>374</v>
      </c>
      <c r="C109" s="91" t="s">
        <v>388</v>
      </c>
      <c r="D109" s="91">
        <v>350</v>
      </c>
      <c r="E109" s="91">
        <v>24</v>
      </c>
      <c r="F109" s="167"/>
    </row>
    <row r="110" spans="1:6" ht="15" customHeight="1">
      <c r="A110" s="165"/>
      <c r="B110" s="91" t="s">
        <v>412</v>
      </c>
      <c r="C110" s="91" t="s">
        <v>386</v>
      </c>
      <c r="D110" s="91">
        <v>700</v>
      </c>
      <c r="E110" s="91">
        <v>18</v>
      </c>
      <c r="F110" s="167"/>
    </row>
    <row r="111" spans="1:6" ht="15" customHeight="1">
      <c r="A111" s="165"/>
      <c r="B111" s="91" t="s">
        <v>411</v>
      </c>
      <c r="C111" s="91" t="s">
        <v>385</v>
      </c>
      <c r="D111" s="91">
        <v>480</v>
      </c>
      <c r="E111" s="91">
        <v>18</v>
      </c>
      <c r="F111" s="167"/>
    </row>
    <row r="112" spans="1:6" ht="15" customHeight="1">
      <c r="A112" s="165"/>
      <c r="B112" s="91" t="s">
        <v>410</v>
      </c>
      <c r="C112" s="91" t="s">
        <v>386</v>
      </c>
      <c r="D112" s="91">
        <v>380</v>
      </c>
      <c r="E112" s="91">
        <v>7</v>
      </c>
      <c r="F112" s="167"/>
    </row>
    <row r="113" spans="1:6" ht="15" customHeight="1">
      <c r="A113" s="165"/>
      <c r="B113" s="91" t="s">
        <v>375</v>
      </c>
      <c r="C113" s="91" t="s">
        <v>388</v>
      </c>
      <c r="D113" s="91">
        <v>200</v>
      </c>
      <c r="E113" s="91">
        <v>18</v>
      </c>
      <c r="F113" s="167"/>
    </row>
    <row r="114" spans="1:6" ht="15" customHeight="1">
      <c r="A114" s="165"/>
      <c r="B114" s="91" t="s">
        <v>409</v>
      </c>
      <c r="C114" s="91" t="s">
        <v>385</v>
      </c>
      <c r="D114" s="91">
        <v>470</v>
      </c>
      <c r="E114" s="91">
        <v>22</v>
      </c>
      <c r="F114" s="167"/>
    </row>
    <row r="115" spans="1:6" ht="15" customHeight="1">
      <c r="A115" s="165"/>
      <c r="B115" s="91" t="s">
        <v>376</v>
      </c>
      <c r="C115" s="91" t="s">
        <v>388</v>
      </c>
      <c r="D115" s="91">
        <v>370</v>
      </c>
      <c r="E115" s="91">
        <v>20</v>
      </c>
      <c r="F115" s="167"/>
    </row>
    <row r="116" spans="1:6" ht="15" customHeight="1">
      <c r="A116" s="165"/>
      <c r="B116" s="91" t="s">
        <v>377</v>
      </c>
      <c r="C116" s="91" t="s">
        <v>389</v>
      </c>
      <c r="D116" s="91">
        <v>300</v>
      </c>
      <c r="E116" s="91">
        <v>24</v>
      </c>
      <c r="F116" s="167"/>
    </row>
    <row r="117" spans="1:6" ht="15" customHeight="1">
      <c r="A117" s="165"/>
      <c r="B117" s="91" t="s">
        <v>378</v>
      </c>
      <c r="C117" s="91" t="s">
        <v>390</v>
      </c>
      <c r="D117" s="91">
        <v>400</v>
      </c>
      <c r="E117" s="91">
        <v>24</v>
      </c>
      <c r="F117" s="167"/>
    </row>
    <row r="118" spans="1:6" ht="15" customHeight="1">
      <c r="A118" s="165"/>
      <c r="B118" s="91" t="s">
        <v>379</v>
      </c>
      <c r="C118" s="91" t="s">
        <v>391</v>
      </c>
      <c r="D118" s="91">
        <v>200</v>
      </c>
      <c r="E118" s="91">
        <v>12</v>
      </c>
      <c r="F118" s="167"/>
    </row>
    <row r="119" spans="1:6" ht="15" customHeight="1">
      <c r="A119" s="165"/>
      <c r="B119" s="91" t="s">
        <v>380</v>
      </c>
      <c r="C119" s="91" t="s">
        <v>392</v>
      </c>
      <c r="D119" s="91">
        <v>100</v>
      </c>
      <c r="E119" s="91">
        <v>16</v>
      </c>
      <c r="F119" s="167"/>
    </row>
    <row r="120" spans="1:6" ht="15" customHeight="1">
      <c r="A120" s="165"/>
      <c r="B120" s="91" t="s">
        <v>381</v>
      </c>
      <c r="C120" s="91" t="s">
        <v>388</v>
      </c>
      <c r="D120" s="91">
        <v>350</v>
      </c>
      <c r="E120" s="91">
        <v>20</v>
      </c>
      <c r="F120" s="167"/>
    </row>
    <row r="121" spans="1:6" ht="15" customHeight="1">
      <c r="A121" s="165"/>
      <c r="B121" s="91" t="s">
        <v>382</v>
      </c>
      <c r="C121" s="91" t="s">
        <v>384</v>
      </c>
      <c r="D121" s="91">
        <v>750</v>
      </c>
      <c r="E121" s="91">
        <v>22</v>
      </c>
      <c r="F121" s="167"/>
    </row>
    <row r="122" spans="1:6" ht="15" customHeight="1">
      <c r="A122" s="165"/>
      <c r="B122" s="91" t="s">
        <v>408</v>
      </c>
      <c r="C122" s="91" t="s">
        <v>385</v>
      </c>
      <c r="D122" s="91">
        <v>524</v>
      </c>
      <c r="E122" s="91">
        <v>20</v>
      </c>
      <c r="F122" s="167"/>
    </row>
    <row r="123" spans="1:6" ht="15" customHeight="1">
      <c r="A123" s="165"/>
      <c r="B123" s="108" t="s">
        <v>383</v>
      </c>
      <c r="C123" s="108" t="s">
        <v>385</v>
      </c>
      <c r="D123" s="108">
        <v>300</v>
      </c>
      <c r="E123" s="108">
        <v>20</v>
      </c>
      <c r="F123" s="167"/>
    </row>
    <row r="124" spans="1:6" ht="26.25" customHeight="1">
      <c r="A124" s="168" t="s">
        <v>10</v>
      </c>
      <c r="B124" s="109" t="s">
        <v>29</v>
      </c>
      <c r="C124" s="109" t="s">
        <v>71</v>
      </c>
      <c r="D124" s="109" t="s">
        <v>72</v>
      </c>
      <c r="E124" s="109" t="s">
        <v>73</v>
      </c>
      <c r="F124" s="109" t="s">
        <v>74</v>
      </c>
    </row>
    <row r="125" spans="1:6" ht="15" customHeight="1">
      <c r="A125" s="168"/>
      <c r="B125" s="103" t="s">
        <v>324</v>
      </c>
      <c r="C125" s="107">
        <v>8.1999999999999993</v>
      </c>
      <c r="D125" s="107">
        <v>44.5</v>
      </c>
      <c r="E125" s="107">
        <v>8.1999999999999993</v>
      </c>
      <c r="F125" s="169">
        <v>1143</v>
      </c>
    </row>
    <row r="126" spans="1:6" ht="15" customHeight="1">
      <c r="A126" s="168"/>
      <c r="B126" s="103" t="s">
        <v>403</v>
      </c>
      <c r="C126" s="107">
        <v>12</v>
      </c>
      <c r="D126" s="107">
        <v>82</v>
      </c>
      <c r="E126" s="107">
        <v>12</v>
      </c>
      <c r="F126" s="169"/>
    </row>
    <row r="127" spans="1:6" ht="15" customHeight="1">
      <c r="A127" s="168"/>
      <c r="B127" s="103" t="s">
        <v>404</v>
      </c>
      <c r="C127" s="107">
        <v>2.6</v>
      </c>
      <c r="D127" s="107">
        <v>27.76</v>
      </c>
      <c r="E127" s="107">
        <v>2.6</v>
      </c>
      <c r="F127" s="169"/>
    </row>
    <row r="128" spans="1:6" ht="15" customHeight="1">
      <c r="A128" s="168"/>
      <c r="B128" s="103" t="s">
        <v>225</v>
      </c>
      <c r="C128" s="107">
        <v>6.6</v>
      </c>
      <c r="D128" s="107">
        <v>33</v>
      </c>
      <c r="E128" s="107">
        <v>6.6</v>
      </c>
      <c r="F128" s="169"/>
    </row>
    <row r="129" spans="1:6" ht="15" customHeight="1">
      <c r="A129" s="168"/>
      <c r="B129" s="103" t="s">
        <v>275</v>
      </c>
      <c r="C129" s="107">
        <v>6</v>
      </c>
      <c r="D129" s="107">
        <v>40</v>
      </c>
      <c r="E129" s="107">
        <v>6</v>
      </c>
      <c r="F129" s="169"/>
    </row>
    <row r="130" spans="1:6" ht="15" customHeight="1">
      <c r="A130" s="168"/>
      <c r="B130" s="103" t="s">
        <v>405</v>
      </c>
      <c r="C130" s="107">
        <v>3.4</v>
      </c>
      <c r="D130" s="107">
        <v>31.4</v>
      </c>
      <c r="E130" s="107">
        <v>3.4</v>
      </c>
      <c r="F130" s="169"/>
    </row>
    <row r="131" spans="1:6" ht="15" customHeight="1">
      <c r="A131" s="168"/>
      <c r="B131" s="103" t="s">
        <v>362</v>
      </c>
      <c r="C131" s="107">
        <v>7.3</v>
      </c>
      <c r="D131" s="107">
        <v>26.6</v>
      </c>
      <c r="E131" s="107">
        <v>7.3</v>
      </c>
      <c r="F131" s="169"/>
    </row>
    <row r="132" spans="1:6" ht="15" customHeight="1">
      <c r="A132" s="168"/>
      <c r="B132" s="103" t="s">
        <v>247</v>
      </c>
      <c r="C132" s="107">
        <v>2.5</v>
      </c>
      <c r="D132" s="107">
        <v>36.1</v>
      </c>
      <c r="E132" s="107">
        <v>2.5</v>
      </c>
      <c r="F132" s="169"/>
    </row>
    <row r="133" spans="1:6" ht="15" customHeight="1">
      <c r="A133" s="168"/>
      <c r="B133" s="103" t="s">
        <v>398</v>
      </c>
      <c r="C133" s="107">
        <v>2.7</v>
      </c>
      <c r="D133" s="107">
        <v>14.5</v>
      </c>
      <c r="E133" s="107">
        <v>2.7</v>
      </c>
      <c r="F133" s="169"/>
    </row>
    <row r="134" spans="1:6" ht="15" customHeight="1">
      <c r="A134" s="168"/>
      <c r="B134" s="104" t="s">
        <v>300</v>
      </c>
      <c r="C134" s="107">
        <v>22.2</v>
      </c>
      <c r="D134" s="107">
        <v>59</v>
      </c>
      <c r="E134" s="107">
        <v>22.2</v>
      </c>
      <c r="F134" s="169"/>
    </row>
    <row r="135" spans="1:6" ht="15" customHeight="1">
      <c r="A135" s="168"/>
      <c r="B135" s="103" t="s">
        <v>399</v>
      </c>
      <c r="C135" s="107">
        <v>12.7</v>
      </c>
      <c r="D135" s="107">
        <v>46</v>
      </c>
      <c r="E135" s="107">
        <v>12.7</v>
      </c>
      <c r="F135" s="169"/>
    </row>
    <row r="136" spans="1:6" ht="15" customHeight="1">
      <c r="A136" s="168"/>
      <c r="B136" s="103" t="s">
        <v>236</v>
      </c>
      <c r="C136" s="107">
        <v>3</v>
      </c>
      <c r="D136" s="107">
        <v>43.5</v>
      </c>
      <c r="E136" s="107">
        <v>3</v>
      </c>
      <c r="F136" s="169"/>
    </row>
    <row r="137" spans="1:6" ht="15" customHeight="1">
      <c r="A137" s="168"/>
      <c r="B137" s="103" t="s">
        <v>208</v>
      </c>
      <c r="C137" s="107">
        <v>54</v>
      </c>
      <c r="D137" s="107">
        <v>154</v>
      </c>
      <c r="E137" s="107">
        <v>54</v>
      </c>
      <c r="F137" s="169"/>
    </row>
    <row r="138" spans="1:6" ht="15" customHeight="1">
      <c r="A138" s="168"/>
      <c r="B138" s="103" t="s">
        <v>239</v>
      </c>
      <c r="C138" s="107">
        <v>4.5999999999999996</v>
      </c>
      <c r="D138" s="107">
        <v>22</v>
      </c>
      <c r="E138" s="107">
        <v>4.5999999999999996</v>
      </c>
      <c r="F138" s="169"/>
    </row>
    <row r="139" spans="1:6" ht="15" customHeight="1">
      <c r="A139" s="168"/>
      <c r="B139" s="105" t="s">
        <v>406</v>
      </c>
      <c r="C139" s="107">
        <v>2.6</v>
      </c>
      <c r="D139" s="107">
        <v>88.6</v>
      </c>
      <c r="E139" s="107">
        <v>2.6</v>
      </c>
      <c r="F139" s="169"/>
    </row>
    <row r="140" spans="1:6" ht="15" customHeight="1">
      <c r="A140" s="168"/>
      <c r="B140" s="105" t="s">
        <v>288</v>
      </c>
      <c r="C140" s="107">
        <v>10</v>
      </c>
      <c r="D140" s="107">
        <v>65</v>
      </c>
      <c r="E140" s="107">
        <v>10</v>
      </c>
      <c r="F140" s="169"/>
    </row>
    <row r="141" spans="1:6" ht="15" customHeight="1">
      <c r="A141" s="168"/>
      <c r="B141" s="104" t="s">
        <v>258</v>
      </c>
      <c r="C141" s="107">
        <v>44</v>
      </c>
      <c r="D141" s="107">
        <v>140.4</v>
      </c>
      <c r="E141" s="107">
        <v>44</v>
      </c>
      <c r="F141" s="169"/>
    </row>
    <row r="142" spans="1:6" ht="15" customHeight="1">
      <c r="A142" s="168"/>
      <c r="B142" s="104" t="s">
        <v>402</v>
      </c>
      <c r="C142" s="107">
        <v>10</v>
      </c>
      <c r="D142" s="107">
        <v>103.2</v>
      </c>
      <c r="E142" s="107">
        <v>10</v>
      </c>
      <c r="F142" s="169"/>
    </row>
    <row r="143" spans="1:6" ht="15" customHeight="1">
      <c r="A143" s="168"/>
      <c r="B143" s="104" t="s">
        <v>262</v>
      </c>
      <c r="C143" s="107">
        <v>6.4</v>
      </c>
      <c r="D143" s="107">
        <v>56</v>
      </c>
      <c r="E143" s="107">
        <v>6.4</v>
      </c>
      <c r="F143" s="169"/>
    </row>
    <row r="144" spans="1:6" ht="15" customHeight="1">
      <c r="A144" s="168"/>
      <c r="B144" s="104" t="s">
        <v>221</v>
      </c>
      <c r="C144" s="107">
        <v>1</v>
      </c>
      <c r="D144" s="107">
        <v>29.6</v>
      </c>
      <c r="E144" s="107">
        <v>1</v>
      </c>
      <c r="F144" s="169"/>
    </row>
  </sheetData>
  <mergeCells count="42">
    <mergeCell ref="A5:A16"/>
    <mergeCell ref="A17:A48"/>
    <mergeCell ref="B47:B48"/>
    <mergeCell ref="C50:C51"/>
    <mergeCell ref="D50:D51"/>
    <mergeCell ref="B18:B21"/>
    <mergeCell ref="B23:B24"/>
    <mergeCell ref="F50:F67"/>
    <mergeCell ref="A49:A67"/>
    <mergeCell ref="B31:B32"/>
    <mergeCell ref="B27:B28"/>
    <mergeCell ref="B37:B38"/>
    <mergeCell ref="C62:C66"/>
    <mergeCell ref="B42:B44"/>
    <mergeCell ref="E42:E44"/>
    <mergeCell ref="E47:E48"/>
    <mergeCell ref="F18:F48"/>
    <mergeCell ref="E18:E21"/>
    <mergeCell ref="B97:B98"/>
    <mergeCell ref="E23:E24"/>
    <mergeCell ref="E27:E28"/>
    <mergeCell ref="E39:E40"/>
    <mergeCell ref="E37:E38"/>
    <mergeCell ref="B39:B40"/>
    <mergeCell ref="E31:E32"/>
    <mergeCell ref="E50:E67"/>
    <mergeCell ref="A68:E68"/>
    <mergeCell ref="A101:A123"/>
    <mergeCell ref="F102:F123"/>
    <mergeCell ref="A124:A144"/>
    <mergeCell ref="F125:F144"/>
    <mergeCell ref="B85:B86"/>
    <mergeCell ref="B87:B88"/>
    <mergeCell ref="B89:B90"/>
    <mergeCell ref="B91:B92"/>
    <mergeCell ref="B95:B96"/>
    <mergeCell ref="B74:B76"/>
    <mergeCell ref="B77:B78"/>
    <mergeCell ref="B79:B80"/>
    <mergeCell ref="B81:B83"/>
    <mergeCell ref="A70:A100"/>
    <mergeCell ref="B99:B100"/>
  </mergeCells>
  <dataValidations disablePrompts="1" count="1">
    <dataValidation type="list" allowBlank="1" showErrorMessage="1" sqref="C6">
      <formula1>"Production,Distribution"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F100"/>
  <sheetViews>
    <sheetView workbookViewId="0">
      <selection activeCell="G18" sqref="G18"/>
    </sheetView>
  </sheetViews>
  <sheetFormatPr baseColWidth="10" defaultColWidth="14.42578125" defaultRowHeight="15" customHeight="1"/>
  <cols>
    <col min="1" max="1" width="10.7109375" customWidth="1"/>
    <col min="2" max="6" width="27.7109375" customWidth="1"/>
    <col min="7" max="11" width="10.7109375" customWidth="1"/>
  </cols>
  <sheetData>
    <row r="1" spans="2:6" ht="14.25" customHeight="1"/>
    <row r="2" spans="2:6" ht="14.25" customHeight="1"/>
    <row r="3" spans="2:6" ht="59.25" customHeight="1">
      <c r="B3" s="34" t="s">
        <v>78</v>
      </c>
      <c r="C3" s="35" t="s">
        <v>0</v>
      </c>
      <c r="D3" s="35" t="s">
        <v>2</v>
      </c>
      <c r="E3" s="36" t="s">
        <v>79</v>
      </c>
      <c r="F3" s="34" t="s">
        <v>80</v>
      </c>
    </row>
    <row r="4" spans="2:6" ht="30" customHeight="1">
      <c r="B4" s="198" t="s">
        <v>81</v>
      </c>
      <c r="C4" s="201" t="s">
        <v>82</v>
      </c>
      <c r="D4" s="37" t="s">
        <v>83</v>
      </c>
      <c r="E4" s="38" t="s">
        <v>84</v>
      </c>
      <c r="F4" s="199">
        <v>100000</v>
      </c>
    </row>
    <row r="5" spans="2:6" ht="33" customHeight="1">
      <c r="B5" s="181"/>
      <c r="C5" s="175"/>
      <c r="D5" s="39" t="s">
        <v>85</v>
      </c>
      <c r="E5" s="40" t="s">
        <v>84</v>
      </c>
      <c r="F5" s="178"/>
    </row>
    <row r="6" spans="2:6" ht="38.25" customHeight="1">
      <c r="B6" s="181"/>
      <c r="C6" s="175"/>
      <c r="D6" s="39" t="s">
        <v>86</v>
      </c>
      <c r="E6" s="40" t="s">
        <v>84</v>
      </c>
      <c r="F6" s="178"/>
    </row>
    <row r="7" spans="2:6" ht="18" customHeight="1">
      <c r="B7" s="181"/>
      <c r="C7" s="175"/>
      <c r="D7" s="39" t="s">
        <v>87</v>
      </c>
      <c r="E7" s="41" t="s">
        <v>206</v>
      </c>
      <c r="F7" s="178"/>
    </row>
    <row r="8" spans="2:6" ht="30.75" customHeight="1">
      <c r="B8" s="181"/>
      <c r="C8" s="172"/>
      <c r="D8" s="39" t="s">
        <v>88</v>
      </c>
      <c r="E8" s="41" t="s">
        <v>89</v>
      </c>
      <c r="F8" s="200"/>
    </row>
    <row r="9" spans="2:6" ht="34.5" customHeight="1">
      <c r="B9" s="181"/>
      <c r="C9" s="202" t="s">
        <v>28</v>
      </c>
      <c r="D9" s="203" t="s">
        <v>90</v>
      </c>
      <c r="E9" s="42" t="s">
        <v>91</v>
      </c>
      <c r="F9" s="197">
        <v>243833</v>
      </c>
    </row>
    <row r="10" spans="2:6" ht="23.25" customHeight="1">
      <c r="B10" s="181"/>
      <c r="C10" s="172"/>
      <c r="D10" s="172"/>
      <c r="E10" s="42" t="s">
        <v>92</v>
      </c>
      <c r="F10" s="178"/>
    </row>
    <row r="11" spans="2:6" ht="27" customHeight="1">
      <c r="B11" s="181"/>
      <c r="C11" s="202" t="s">
        <v>93</v>
      </c>
      <c r="D11" s="203" t="s">
        <v>94</v>
      </c>
      <c r="E11" s="42" t="s">
        <v>95</v>
      </c>
      <c r="F11" s="178"/>
    </row>
    <row r="12" spans="2:6" ht="26.25" customHeight="1" thickBot="1">
      <c r="B12" s="181"/>
      <c r="C12" s="176"/>
      <c r="D12" s="176"/>
      <c r="E12" s="80" t="s">
        <v>96</v>
      </c>
      <c r="F12" s="178"/>
    </row>
    <row r="13" spans="2:6" ht="35.25" customHeight="1">
      <c r="B13" s="187" t="s">
        <v>205</v>
      </c>
      <c r="C13" s="190" t="s">
        <v>82</v>
      </c>
      <c r="D13" s="81" t="s">
        <v>83</v>
      </c>
      <c r="E13" s="158" t="s">
        <v>84</v>
      </c>
      <c r="F13" s="159"/>
    </row>
    <row r="14" spans="2:6" ht="38.25" customHeight="1">
      <c r="B14" s="188"/>
      <c r="C14" s="176"/>
      <c r="D14" s="39" t="s">
        <v>85</v>
      </c>
      <c r="E14" s="156" t="s">
        <v>84</v>
      </c>
      <c r="F14" s="160"/>
    </row>
    <row r="15" spans="2:6" ht="38.25" customHeight="1">
      <c r="B15" s="188"/>
      <c r="C15" s="176"/>
      <c r="D15" s="39" t="s">
        <v>86</v>
      </c>
      <c r="E15" s="156" t="s">
        <v>393</v>
      </c>
      <c r="F15" s="82" t="s">
        <v>443</v>
      </c>
    </row>
    <row r="16" spans="2:6" ht="30" customHeight="1">
      <c r="B16" s="188"/>
      <c r="C16" s="176"/>
      <c r="D16" s="39" t="s">
        <v>87</v>
      </c>
      <c r="E16" s="156" t="s">
        <v>84</v>
      </c>
      <c r="F16" s="160"/>
    </row>
    <row r="17" spans="2:6" ht="36.75" customHeight="1">
      <c r="B17" s="188"/>
      <c r="C17" s="172"/>
      <c r="D17" s="39" t="s">
        <v>88</v>
      </c>
      <c r="E17" s="156" t="s">
        <v>441</v>
      </c>
      <c r="F17" s="160"/>
    </row>
    <row r="18" spans="2:6" ht="36.75" customHeight="1">
      <c r="B18" s="188"/>
      <c r="C18" s="191" t="s">
        <v>28</v>
      </c>
      <c r="D18" s="192" t="s">
        <v>90</v>
      </c>
      <c r="E18" s="106" t="s">
        <v>413</v>
      </c>
      <c r="F18" s="193" t="s">
        <v>444</v>
      </c>
    </row>
    <row r="19" spans="2:6" ht="25.5" customHeight="1">
      <c r="B19" s="188"/>
      <c r="C19" s="172"/>
      <c r="D19" s="172"/>
      <c r="E19" s="79" t="s">
        <v>207</v>
      </c>
      <c r="F19" s="194"/>
    </row>
    <row r="20" spans="2:6" ht="27.75" customHeight="1">
      <c r="B20" s="188"/>
      <c r="C20" s="191" t="s">
        <v>93</v>
      </c>
      <c r="D20" s="192" t="s">
        <v>94</v>
      </c>
      <c r="E20" s="106" t="s">
        <v>407</v>
      </c>
      <c r="F20" s="194"/>
    </row>
    <row r="21" spans="2:6" ht="33.75" customHeight="1" thickBot="1">
      <c r="B21" s="189"/>
      <c r="C21" s="196"/>
      <c r="D21" s="196"/>
      <c r="E21" s="157" t="s">
        <v>442</v>
      </c>
      <c r="F21" s="195"/>
    </row>
    <row r="22" spans="2:6" ht="14.25" customHeight="1"/>
    <row r="23" spans="2:6" ht="14.25" customHeight="1"/>
    <row r="24" spans="2:6" ht="14.25" customHeight="1"/>
    <row r="25" spans="2:6" ht="14.25" customHeight="1"/>
    <row r="26" spans="2:6" ht="14.25" customHeight="1"/>
    <row r="27" spans="2:6" ht="14.25" customHeight="1"/>
    <row r="28" spans="2:6" ht="14.25" customHeight="1"/>
    <row r="29" spans="2:6" ht="14.25" customHeight="1"/>
    <row r="30" spans="2:6" ht="14.25" customHeight="1"/>
    <row r="31" spans="2:6" ht="14.25" customHeight="1"/>
    <row r="32" spans="2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5">
    <mergeCell ref="F9:F12"/>
    <mergeCell ref="B4:B12"/>
    <mergeCell ref="F4:F8"/>
    <mergeCell ref="C4:C8"/>
    <mergeCell ref="C9:C10"/>
    <mergeCell ref="D9:D10"/>
    <mergeCell ref="C11:C12"/>
    <mergeCell ref="D11:D12"/>
    <mergeCell ref="B13:B21"/>
    <mergeCell ref="C13:C17"/>
    <mergeCell ref="C18:C19"/>
    <mergeCell ref="D18:D19"/>
    <mergeCell ref="F18:F21"/>
    <mergeCell ref="C20:C21"/>
    <mergeCell ref="D20:D2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123"/>
  <sheetViews>
    <sheetView workbookViewId="0">
      <selection activeCell="J53" sqref="J53"/>
    </sheetView>
  </sheetViews>
  <sheetFormatPr baseColWidth="10" defaultColWidth="14.42578125" defaultRowHeight="15" customHeight="1"/>
  <cols>
    <col min="1" max="1" width="9.140625" customWidth="1"/>
    <col min="2" max="2" width="35" customWidth="1"/>
    <col min="3" max="3" width="25.5703125" customWidth="1"/>
    <col min="4" max="8" width="12.7109375" customWidth="1"/>
    <col min="9" max="9" width="21.42578125" customWidth="1"/>
    <col min="10" max="11" width="9.140625" customWidth="1"/>
  </cols>
  <sheetData>
    <row r="1" spans="1:11" ht="14.25" customHeight="1">
      <c r="A1" s="43" t="s">
        <v>97</v>
      </c>
    </row>
    <row r="2" spans="1:11" ht="14.25" customHeight="1">
      <c r="A2" s="43" t="s">
        <v>98</v>
      </c>
    </row>
    <row r="3" spans="1:11" ht="14.25" customHeight="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</row>
    <row r="4" spans="1:11" ht="14.25" customHeight="1">
      <c r="A4" s="45" t="s">
        <v>99</v>
      </c>
    </row>
    <row r="5" spans="1:11" ht="14.25" customHeight="1">
      <c r="C5" s="46"/>
      <c r="D5" s="217" t="s">
        <v>100</v>
      </c>
      <c r="E5" s="218"/>
      <c r="F5" s="218"/>
    </row>
    <row r="6" spans="1:11" ht="14.25" customHeight="1"/>
    <row r="7" spans="1:11" ht="27.75" customHeight="1">
      <c r="B7" s="47" t="s">
        <v>1</v>
      </c>
      <c r="C7" s="48" t="s">
        <v>101</v>
      </c>
      <c r="D7" s="48" t="s">
        <v>102</v>
      </c>
      <c r="E7" s="48" t="s">
        <v>103</v>
      </c>
      <c r="F7" s="48" t="s">
        <v>104</v>
      </c>
      <c r="G7" s="48" t="s">
        <v>105</v>
      </c>
      <c r="H7" s="48" t="s">
        <v>106</v>
      </c>
      <c r="I7" s="48" t="s">
        <v>107</v>
      </c>
    </row>
    <row r="8" spans="1:11" ht="14.25" customHeight="1">
      <c r="B8" s="17" t="s">
        <v>108</v>
      </c>
      <c r="C8" s="24" t="s">
        <v>35</v>
      </c>
      <c r="D8" s="25" t="s">
        <v>109</v>
      </c>
      <c r="E8" s="49" t="s">
        <v>110</v>
      </c>
      <c r="F8" s="25">
        <v>3400</v>
      </c>
      <c r="G8" s="25">
        <v>2</v>
      </c>
      <c r="H8" s="50">
        <v>28856</v>
      </c>
      <c r="I8" s="24" t="s">
        <v>84</v>
      </c>
    </row>
    <row r="9" spans="1:11" ht="14.25" customHeight="1">
      <c r="B9" s="17" t="s">
        <v>108</v>
      </c>
      <c r="C9" s="24" t="s">
        <v>35</v>
      </c>
      <c r="D9" s="25" t="s">
        <v>109</v>
      </c>
      <c r="E9" s="51" t="s">
        <v>111</v>
      </c>
      <c r="F9" s="25">
        <v>1000</v>
      </c>
      <c r="G9" s="25">
        <v>1</v>
      </c>
      <c r="H9" s="50">
        <v>36048</v>
      </c>
      <c r="I9" s="24" t="s">
        <v>84</v>
      </c>
    </row>
    <row r="10" spans="1:11" ht="14.25" customHeight="1">
      <c r="B10" s="17" t="s">
        <v>108</v>
      </c>
      <c r="C10" s="24" t="s">
        <v>35</v>
      </c>
      <c r="D10" s="25" t="s">
        <v>109</v>
      </c>
      <c r="E10" s="51" t="s">
        <v>112</v>
      </c>
      <c r="F10" s="25">
        <v>2500</v>
      </c>
      <c r="G10" s="25">
        <v>1</v>
      </c>
      <c r="H10" s="50">
        <v>43824</v>
      </c>
      <c r="I10" s="24" t="s">
        <v>84</v>
      </c>
    </row>
    <row r="11" spans="1:11" ht="14.25" customHeight="1">
      <c r="B11" s="17" t="s">
        <v>108</v>
      </c>
      <c r="C11" s="24" t="s">
        <v>35</v>
      </c>
      <c r="D11" s="25" t="s">
        <v>113</v>
      </c>
      <c r="E11" s="49" t="s">
        <v>114</v>
      </c>
      <c r="F11" s="25">
        <v>200</v>
      </c>
      <c r="G11" s="15">
        <v>1</v>
      </c>
      <c r="H11" s="50">
        <v>45050</v>
      </c>
      <c r="I11" s="24" t="s">
        <v>84</v>
      </c>
    </row>
    <row r="12" spans="1:11" ht="14.25" customHeight="1">
      <c r="B12" s="17" t="s">
        <v>115</v>
      </c>
      <c r="C12" s="24" t="s">
        <v>35</v>
      </c>
      <c r="D12" s="25" t="s">
        <v>109</v>
      </c>
      <c r="E12" s="49" t="s">
        <v>116</v>
      </c>
      <c r="F12" s="25">
        <v>250</v>
      </c>
      <c r="G12" s="15">
        <v>1</v>
      </c>
      <c r="H12" s="50" t="s">
        <v>37</v>
      </c>
      <c r="I12" s="24" t="s">
        <v>117</v>
      </c>
    </row>
    <row r="13" spans="1:11" ht="14.25" customHeight="1">
      <c r="B13" s="28" t="s">
        <v>118</v>
      </c>
      <c r="C13" s="24" t="s">
        <v>35</v>
      </c>
      <c r="D13" s="25" t="s">
        <v>109</v>
      </c>
      <c r="E13" s="51" t="s">
        <v>119</v>
      </c>
      <c r="F13" s="25">
        <v>800</v>
      </c>
      <c r="G13" s="25">
        <v>1</v>
      </c>
      <c r="H13" s="50">
        <v>25689</v>
      </c>
      <c r="I13" s="24" t="s">
        <v>84</v>
      </c>
    </row>
    <row r="14" spans="1:11" ht="14.25" customHeight="1">
      <c r="B14" s="28" t="s">
        <v>118</v>
      </c>
      <c r="C14" s="24" t="s">
        <v>35</v>
      </c>
      <c r="D14" s="25" t="s">
        <v>109</v>
      </c>
      <c r="E14" s="51" t="s">
        <v>120</v>
      </c>
      <c r="F14" s="25">
        <v>1500</v>
      </c>
      <c r="G14" s="25">
        <v>1</v>
      </c>
      <c r="H14" s="50">
        <v>33086</v>
      </c>
      <c r="I14" s="24" t="s">
        <v>84</v>
      </c>
    </row>
    <row r="15" spans="1:11" ht="14.25" customHeight="1">
      <c r="B15" s="28" t="s">
        <v>118</v>
      </c>
      <c r="C15" s="24" t="s">
        <v>35</v>
      </c>
      <c r="D15" s="25" t="s">
        <v>109</v>
      </c>
      <c r="E15" s="51" t="s">
        <v>121</v>
      </c>
      <c r="F15" s="25">
        <v>1500</v>
      </c>
      <c r="G15" s="25">
        <v>1</v>
      </c>
      <c r="H15" s="50" t="s">
        <v>37</v>
      </c>
      <c r="I15" s="24" t="s">
        <v>117</v>
      </c>
    </row>
    <row r="16" spans="1:11" ht="14.25" customHeight="1">
      <c r="B16" s="28" t="s">
        <v>122</v>
      </c>
      <c r="C16" s="24" t="s">
        <v>35</v>
      </c>
      <c r="D16" s="25" t="s">
        <v>109</v>
      </c>
      <c r="E16" s="51" t="s">
        <v>123</v>
      </c>
      <c r="F16" s="25">
        <v>300</v>
      </c>
      <c r="G16" s="25">
        <v>1</v>
      </c>
      <c r="H16" s="50">
        <v>37704</v>
      </c>
      <c r="I16" s="24" t="s">
        <v>84</v>
      </c>
    </row>
    <row r="17" spans="2:9" ht="14.25" customHeight="1">
      <c r="B17" s="28" t="s">
        <v>124</v>
      </c>
      <c r="C17" s="24" t="s">
        <v>35</v>
      </c>
      <c r="D17" s="25" t="s">
        <v>109</v>
      </c>
      <c r="E17" s="51" t="s">
        <v>125</v>
      </c>
      <c r="F17" s="25">
        <v>280</v>
      </c>
      <c r="G17" s="25">
        <v>1</v>
      </c>
      <c r="H17" s="50">
        <v>23012</v>
      </c>
      <c r="I17" s="24" t="s">
        <v>84</v>
      </c>
    </row>
    <row r="18" spans="2:9" ht="14.25" customHeight="1">
      <c r="B18" s="28" t="s">
        <v>124</v>
      </c>
      <c r="C18" s="24" t="s">
        <v>35</v>
      </c>
      <c r="D18" s="25" t="s">
        <v>109</v>
      </c>
      <c r="E18" s="51" t="s">
        <v>126</v>
      </c>
      <c r="F18" s="25">
        <v>600</v>
      </c>
      <c r="G18" s="25">
        <v>1</v>
      </c>
      <c r="H18" s="50">
        <v>37622</v>
      </c>
      <c r="I18" s="24" t="s">
        <v>84</v>
      </c>
    </row>
    <row r="19" spans="2:9" ht="14.25" customHeight="1">
      <c r="B19" s="28" t="s">
        <v>124</v>
      </c>
      <c r="C19" s="28" t="s">
        <v>127</v>
      </c>
      <c r="D19" s="25" t="s">
        <v>109</v>
      </c>
      <c r="E19" s="51" t="s">
        <v>128</v>
      </c>
      <c r="F19" s="25">
        <v>20</v>
      </c>
      <c r="G19" s="25">
        <v>1</v>
      </c>
      <c r="H19" s="50">
        <v>39748</v>
      </c>
      <c r="I19" s="24" t="s">
        <v>84</v>
      </c>
    </row>
    <row r="20" spans="2:9" ht="14.25" customHeight="1">
      <c r="B20" s="28" t="s">
        <v>124</v>
      </c>
      <c r="C20" s="28" t="s">
        <v>44</v>
      </c>
      <c r="D20" s="25" t="s">
        <v>109</v>
      </c>
      <c r="E20" s="51" t="s">
        <v>129</v>
      </c>
      <c r="F20" s="25">
        <v>1500</v>
      </c>
      <c r="G20" s="25">
        <v>1</v>
      </c>
      <c r="H20" s="50">
        <v>44713</v>
      </c>
      <c r="I20" s="24" t="s">
        <v>84</v>
      </c>
    </row>
    <row r="21" spans="2:9" ht="14.25" customHeight="1">
      <c r="B21" s="28" t="s">
        <v>124</v>
      </c>
      <c r="C21" s="28" t="s">
        <v>44</v>
      </c>
      <c r="D21" s="25" t="s">
        <v>109</v>
      </c>
      <c r="E21" s="51" t="s">
        <v>130</v>
      </c>
      <c r="F21" s="25">
        <v>100</v>
      </c>
      <c r="G21" s="25">
        <v>1</v>
      </c>
      <c r="H21" s="50">
        <v>39264</v>
      </c>
      <c r="I21" s="24" t="s">
        <v>84</v>
      </c>
    </row>
    <row r="22" spans="2:9" ht="14.25" customHeight="1">
      <c r="B22" s="28" t="s">
        <v>131</v>
      </c>
      <c r="C22" s="24" t="s">
        <v>35</v>
      </c>
      <c r="D22" s="25" t="s">
        <v>109</v>
      </c>
      <c r="E22" s="51" t="s">
        <v>132</v>
      </c>
      <c r="F22" s="25">
        <v>300</v>
      </c>
      <c r="G22" s="25">
        <v>1</v>
      </c>
      <c r="H22" s="50">
        <v>37257</v>
      </c>
      <c r="I22" s="24" t="s">
        <v>84</v>
      </c>
    </row>
    <row r="23" spans="2:9" ht="14.25" customHeight="1">
      <c r="B23" s="28" t="s">
        <v>131</v>
      </c>
      <c r="C23" s="24" t="s">
        <v>35</v>
      </c>
      <c r="D23" s="25" t="s">
        <v>109</v>
      </c>
      <c r="E23" s="51" t="s">
        <v>133</v>
      </c>
      <c r="F23" s="25">
        <v>190</v>
      </c>
      <c r="G23" s="25">
        <v>1</v>
      </c>
      <c r="H23" s="50">
        <v>25934</v>
      </c>
      <c r="I23" s="24" t="s">
        <v>134</v>
      </c>
    </row>
    <row r="24" spans="2:9" ht="14.25" customHeight="1">
      <c r="B24" s="24" t="s">
        <v>135</v>
      </c>
      <c r="C24" s="24" t="s">
        <v>35</v>
      </c>
      <c r="D24" s="25" t="s">
        <v>109</v>
      </c>
      <c r="E24" s="51" t="s">
        <v>136</v>
      </c>
      <c r="F24" s="25">
        <v>100</v>
      </c>
      <c r="G24" s="25">
        <v>1</v>
      </c>
      <c r="H24" s="50">
        <v>42370</v>
      </c>
      <c r="I24" s="24" t="s">
        <v>84</v>
      </c>
    </row>
    <row r="25" spans="2:9" ht="14.25" customHeight="1">
      <c r="B25" s="28" t="s">
        <v>13</v>
      </c>
      <c r="C25" s="24" t="s">
        <v>137</v>
      </c>
      <c r="D25" s="25" t="s">
        <v>109</v>
      </c>
      <c r="E25" s="51" t="s">
        <v>138</v>
      </c>
      <c r="F25" s="25">
        <v>100</v>
      </c>
      <c r="G25" s="25">
        <v>1</v>
      </c>
      <c r="H25" s="52">
        <v>40909</v>
      </c>
      <c r="I25" s="24" t="s">
        <v>84</v>
      </c>
    </row>
    <row r="26" spans="2:9" ht="14.25" customHeight="1">
      <c r="B26" s="28" t="s">
        <v>13</v>
      </c>
      <c r="C26" s="28" t="s">
        <v>44</v>
      </c>
      <c r="D26" s="25" t="s">
        <v>109</v>
      </c>
      <c r="E26" s="51" t="s">
        <v>139</v>
      </c>
      <c r="F26" s="25">
        <v>500</v>
      </c>
      <c r="G26" s="25">
        <v>1</v>
      </c>
      <c r="H26" s="52">
        <v>44743</v>
      </c>
      <c r="I26" s="24" t="s">
        <v>84</v>
      </c>
    </row>
    <row r="27" spans="2:9" ht="14.25" customHeight="1">
      <c r="B27" s="28" t="s">
        <v>13</v>
      </c>
      <c r="C27" s="28" t="s">
        <v>44</v>
      </c>
      <c r="D27" s="25" t="s">
        <v>109</v>
      </c>
      <c r="E27" s="51" t="s">
        <v>139</v>
      </c>
      <c r="F27" s="25">
        <v>100</v>
      </c>
      <c r="G27" s="25">
        <v>1</v>
      </c>
      <c r="H27" s="24" t="s">
        <v>140</v>
      </c>
      <c r="I27" s="24" t="s">
        <v>84</v>
      </c>
    </row>
    <row r="28" spans="2:9" ht="14.25" customHeight="1">
      <c r="B28" s="28" t="s">
        <v>13</v>
      </c>
      <c r="C28" s="24" t="s">
        <v>35</v>
      </c>
      <c r="D28" s="25" t="s">
        <v>109</v>
      </c>
      <c r="E28" s="51" t="s">
        <v>141</v>
      </c>
      <c r="F28" s="25">
        <v>420</v>
      </c>
      <c r="G28" s="25">
        <v>1</v>
      </c>
      <c r="H28" s="50">
        <v>23012</v>
      </c>
      <c r="I28" s="24" t="s">
        <v>84</v>
      </c>
    </row>
    <row r="29" spans="2:9" ht="14.25" customHeight="1">
      <c r="B29" s="28" t="s">
        <v>13</v>
      </c>
      <c r="C29" s="28" t="s">
        <v>44</v>
      </c>
      <c r="D29" s="25" t="s">
        <v>109</v>
      </c>
      <c r="E29" s="51" t="s">
        <v>142</v>
      </c>
      <c r="F29" s="25">
        <v>60</v>
      </c>
      <c r="G29" s="25">
        <v>1</v>
      </c>
      <c r="H29" s="50">
        <v>36678</v>
      </c>
      <c r="I29" s="24" t="s">
        <v>84</v>
      </c>
    </row>
    <row r="30" spans="2:9" ht="14.25" customHeight="1">
      <c r="B30" s="28" t="s">
        <v>143</v>
      </c>
      <c r="C30" s="24" t="s">
        <v>46</v>
      </c>
      <c r="D30" s="25" t="s">
        <v>109</v>
      </c>
      <c r="E30" s="51" t="s">
        <v>144</v>
      </c>
      <c r="F30" s="25">
        <v>200</v>
      </c>
      <c r="G30" s="25">
        <v>1</v>
      </c>
      <c r="H30" s="50">
        <v>41487</v>
      </c>
      <c r="I30" s="24" t="s">
        <v>84</v>
      </c>
    </row>
    <row r="31" spans="2:9" ht="14.25" customHeight="1">
      <c r="B31" s="28" t="s">
        <v>145</v>
      </c>
      <c r="C31" s="24" t="s">
        <v>48</v>
      </c>
      <c r="D31" s="25" t="s">
        <v>109</v>
      </c>
      <c r="E31" s="49" t="s">
        <v>146</v>
      </c>
      <c r="F31" s="25">
        <v>400</v>
      </c>
      <c r="G31" s="25">
        <v>1</v>
      </c>
      <c r="H31" s="50">
        <v>39417</v>
      </c>
      <c r="I31" s="24" t="s">
        <v>84</v>
      </c>
    </row>
    <row r="32" spans="2:9" ht="14.25" customHeight="1">
      <c r="B32" s="28" t="s">
        <v>147</v>
      </c>
      <c r="C32" s="24" t="s">
        <v>137</v>
      </c>
      <c r="D32" s="25" t="s">
        <v>109</v>
      </c>
      <c r="E32" s="49" t="s">
        <v>148</v>
      </c>
      <c r="F32" s="25">
        <v>20</v>
      </c>
      <c r="G32" s="25">
        <v>1</v>
      </c>
      <c r="H32" s="50">
        <v>39417</v>
      </c>
      <c r="I32" s="24" t="s">
        <v>84</v>
      </c>
    </row>
    <row r="33" spans="2:9" ht="14.25" customHeight="1">
      <c r="B33" s="28" t="s">
        <v>147</v>
      </c>
      <c r="C33" s="24" t="s">
        <v>50</v>
      </c>
      <c r="D33" s="25" t="s">
        <v>109</v>
      </c>
      <c r="E33" s="49" t="s">
        <v>149</v>
      </c>
      <c r="F33" s="25">
        <v>150</v>
      </c>
      <c r="G33" s="25">
        <v>1</v>
      </c>
      <c r="H33" s="50">
        <v>39417</v>
      </c>
      <c r="I33" s="24" t="s">
        <v>84</v>
      </c>
    </row>
    <row r="34" spans="2:9" ht="14.25" customHeight="1">
      <c r="B34" s="24" t="s">
        <v>150</v>
      </c>
      <c r="C34" s="24" t="s">
        <v>151</v>
      </c>
      <c r="D34" s="25" t="s">
        <v>109</v>
      </c>
      <c r="E34" s="49" t="s">
        <v>152</v>
      </c>
      <c r="F34" s="25">
        <v>1500</v>
      </c>
      <c r="G34" s="25">
        <v>1</v>
      </c>
      <c r="H34" s="50">
        <v>43617</v>
      </c>
      <c r="I34" s="24" t="s">
        <v>84</v>
      </c>
    </row>
    <row r="35" spans="2:9" ht="14.25" customHeight="1">
      <c r="B35" s="24" t="s">
        <v>150</v>
      </c>
      <c r="C35" s="24" t="s">
        <v>137</v>
      </c>
      <c r="D35" s="25" t="s">
        <v>109</v>
      </c>
      <c r="E35" s="49" t="s">
        <v>153</v>
      </c>
      <c r="F35" s="25">
        <v>400</v>
      </c>
      <c r="G35" s="25">
        <v>1</v>
      </c>
      <c r="H35" s="50">
        <v>43617</v>
      </c>
      <c r="I35" s="24" t="s">
        <v>84</v>
      </c>
    </row>
    <row r="36" spans="2:9" ht="14.25" customHeight="1">
      <c r="B36" s="24" t="s">
        <v>150</v>
      </c>
      <c r="C36" s="28" t="s">
        <v>44</v>
      </c>
      <c r="D36" s="25" t="s">
        <v>109</v>
      </c>
      <c r="E36" s="49" t="s">
        <v>154</v>
      </c>
      <c r="F36" s="25">
        <v>500</v>
      </c>
      <c r="G36" s="25">
        <v>1</v>
      </c>
      <c r="H36" s="50">
        <v>43617</v>
      </c>
      <c r="I36" s="24" t="s">
        <v>84</v>
      </c>
    </row>
    <row r="37" spans="2:9" ht="14.25" customHeight="1">
      <c r="B37" s="24" t="s">
        <v>155</v>
      </c>
      <c r="C37" s="24" t="s">
        <v>52</v>
      </c>
      <c r="D37" s="25" t="s">
        <v>109</v>
      </c>
      <c r="E37" s="49" t="s">
        <v>156</v>
      </c>
      <c r="F37" s="25">
        <v>200</v>
      </c>
      <c r="G37" s="25">
        <v>1</v>
      </c>
      <c r="H37" s="50">
        <v>43891</v>
      </c>
      <c r="I37" s="24" t="s">
        <v>84</v>
      </c>
    </row>
    <row r="38" spans="2:9" ht="14.25" customHeight="1">
      <c r="B38" s="24" t="s">
        <v>155</v>
      </c>
      <c r="C38" s="24" t="s">
        <v>54</v>
      </c>
      <c r="D38" s="25" t="s">
        <v>109</v>
      </c>
      <c r="E38" s="49" t="s">
        <v>157</v>
      </c>
      <c r="F38" s="25">
        <v>20</v>
      </c>
      <c r="G38" s="25">
        <v>1</v>
      </c>
      <c r="H38" s="50">
        <v>43983</v>
      </c>
      <c r="I38" s="24" t="s">
        <v>84</v>
      </c>
    </row>
    <row r="39" spans="2:9" ht="14.25" customHeight="1">
      <c r="B39" s="24" t="s">
        <v>155</v>
      </c>
      <c r="C39" s="24" t="s">
        <v>55</v>
      </c>
      <c r="D39" s="25" t="s">
        <v>109</v>
      </c>
      <c r="E39" s="49" t="s">
        <v>158</v>
      </c>
      <c r="F39" s="25">
        <v>20</v>
      </c>
      <c r="G39" s="25">
        <v>1</v>
      </c>
      <c r="H39" s="50">
        <v>43891</v>
      </c>
      <c r="I39" s="24" t="s">
        <v>84</v>
      </c>
    </row>
    <row r="40" spans="2:9" ht="14.25" customHeight="1">
      <c r="B40" s="24" t="s">
        <v>159</v>
      </c>
      <c r="C40" s="24" t="s">
        <v>57</v>
      </c>
      <c r="D40" s="25" t="s">
        <v>113</v>
      </c>
      <c r="E40" s="49" t="s">
        <v>160</v>
      </c>
      <c r="F40" s="25">
        <v>200</v>
      </c>
      <c r="G40" s="25">
        <v>1</v>
      </c>
      <c r="H40" s="50">
        <v>39083</v>
      </c>
      <c r="I40" s="24" t="s">
        <v>84</v>
      </c>
    </row>
    <row r="41" spans="2:9" ht="14.25" customHeight="1">
      <c r="B41" s="24" t="s">
        <v>159</v>
      </c>
      <c r="C41" s="24" t="s">
        <v>58</v>
      </c>
      <c r="D41" s="25" t="s">
        <v>109</v>
      </c>
      <c r="E41" s="49" t="s">
        <v>161</v>
      </c>
      <c r="F41" s="25">
        <v>380</v>
      </c>
      <c r="G41" s="25">
        <v>1</v>
      </c>
      <c r="H41" s="50">
        <v>31413</v>
      </c>
      <c r="I41" s="24" t="s">
        <v>162</v>
      </c>
    </row>
    <row r="42" spans="2:9" ht="14.25" customHeight="1">
      <c r="B42" s="24" t="s">
        <v>159</v>
      </c>
      <c r="C42" s="24" t="s">
        <v>60</v>
      </c>
      <c r="D42" s="25" t="s">
        <v>109</v>
      </c>
      <c r="E42" s="49" t="s">
        <v>163</v>
      </c>
      <c r="F42" s="25">
        <v>20</v>
      </c>
      <c r="G42" s="25">
        <v>1</v>
      </c>
      <c r="H42" s="50">
        <v>39083</v>
      </c>
      <c r="I42" s="24" t="s">
        <v>84</v>
      </c>
    </row>
    <row r="43" spans="2:9" ht="14.25" customHeight="1">
      <c r="B43" s="28" t="s">
        <v>26</v>
      </c>
      <c r="C43" s="24" t="s">
        <v>62</v>
      </c>
      <c r="D43" s="53" t="s">
        <v>113</v>
      </c>
      <c r="E43" s="49" t="s">
        <v>164</v>
      </c>
      <c r="F43" s="25">
        <v>300</v>
      </c>
      <c r="G43" s="25">
        <v>1</v>
      </c>
      <c r="H43" s="50">
        <v>39814</v>
      </c>
      <c r="I43" s="24" t="s">
        <v>84</v>
      </c>
    </row>
    <row r="44" spans="2:9" ht="14.25" customHeight="1">
      <c r="B44" s="28" t="s">
        <v>26</v>
      </c>
      <c r="C44" s="24" t="s">
        <v>63</v>
      </c>
      <c r="D44" s="25" t="s">
        <v>109</v>
      </c>
      <c r="E44" s="49" t="s">
        <v>165</v>
      </c>
      <c r="F44" s="25">
        <v>500</v>
      </c>
      <c r="G44" s="25">
        <v>1</v>
      </c>
      <c r="H44" s="50" t="s">
        <v>37</v>
      </c>
      <c r="I44" s="26" t="s">
        <v>166</v>
      </c>
    </row>
    <row r="45" spans="2:9" ht="14.25" customHeight="1">
      <c r="B45" s="28" t="s">
        <v>26</v>
      </c>
      <c r="C45" s="24" t="s">
        <v>63</v>
      </c>
      <c r="D45" s="25" t="s">
        <v>109</v>
      </c>
      <c r="E45" s="49" t="s">
        <v>167</v>
      </c>
      <c r="F45" s="25">
        <v>500</v>
      </c>
      <c r="G45" s="25">
        <v>1</v>
      </c>
      <c r="H45" s="50">
        <v>45292</v>
      </c>
      <c r="I45" s="24" t="s">
        <v>84</v>
      </c>
    </row>
    <row r="46" spans="2:9" ht="14.25" customHeight="1">
      <c r="B46" s="28" t="s">
        <v>26</v>
      </c>
      <c r="C46" s="24" t="s">
        <v>65</v>
      </c>
      <c r="D46" s="25" t="s">
        <v>109</v>
      </c>
      <c r="E46" s="49" t="s">
        <v>168</v>
      </c>
      <c r="F46" s="25">
        <v>20</v>
      </c>
      <c r="G46" s="25">
        <v>1</v>
      </c>
      <c r="H46" s="50">
        <v>43713</v>
      </c>
      <c r="I46" s="24" t="s">
        <v>84</v>
      </c>
    </row>
    <row r="47" spans="2:9" ht="14.25" customHeight="1">
      <c r="B47" s="54" t="s">
        <v>169</v>
      </c>
      <c r="C47" s="54" t="s">
        <v>67</v>
      </c>
      <c r="D47" s="53" t="s">
        <v>113</v>
      </c>
      <c r="E47" s="55" t="s">
        <v>170</v>
      </c>
      <c r="F47" s="25">
        <v>500</v>
      </c>
      <c r="G47" s="53">
        <v>1</v>
      </c>
      <c r="H47" s="56">
        <v>43891</v>
      </c>
      <c r="I47" s="54" t="s">
        <v>84</v>
      </c>
    </row>
    <row r="48" spans="2:9" ht="14.25" customHeight="1">
      <c r="B48" s="28" t="s">
        <v>6</v>
      </c>
      <c r="C48" s="24" t="s">
        <v>69</v>
      </c>
      <c r="D48" s="25" t="s">
        <v>109</v>
      </c>
      <c r="E48" s="51" t="s">
        <v>171</v>
      </c>
      <c r="F48" s="25">
        <v>400</v>
      </c>
      <c r="G48" s="15">
        <v>1</v>
      </c>
      <c r="H48" s="50">
        <v>29221</v>
      </c>
      <c r="I48" s="24" t="s">
        <v>84</v>
      </c>
    </row>
    <row r="49" spans="2:9" ht="14.25" customHeight="1">
      <c r="B49" s="83" t="s">
        <v>6</v>
      </c>
      <c r="C49" s="84" t="s">
        <v>70</v>
      </c>
      <c r="D49" s="85" t="s">
        <v>109</v>
      </c>
      <c r="E49" s="86" t="s">
        <v>172</v>
      </c>
      <c r="F49" s="85">
        <v>400</v>
      </c>
      <c r="G49" s="87">
        <v>1</v>
      </c>
      <c r="H49" s="88">
        <v>45627</v>
      </c>
      <c r="I49" s="84" t="s">
        <v>84</v>
      </c>
    </row>
    <row r="50" spans="2:9" ht="15" customHeight="1" thickBot="1">
      <c r="B50" s="208" t="s">
        <v>394</v>
      </c>
      <c r="C50" s="208"/>
      <c r="D50" s="208"/>
      <c r="E50" s="208"/>
      <c r="F50" s="208"/>
      <c r="G50" s="208"/>
      <c r="H50" s="208"/>
      <c r="I50" s="208"/>
    </row>
    <row r="51" spans="2:9" ht="15" customHeight="1">
      <c r="B51" s="209" t="s">
        <v>208</v>
      </c>
      <c r="C51" s="113" t="s">
        <v>209</v>
      </c>
      <c r="D51" s="113" t="s">
        <v>210</v>
      </c>
      <c r="E51" s="113" t="s">
        <v>211</v>
      </c>
      <c r="F51" s="113">
        <v>400</v>
      </c>
      <c r="G51" s="113">
        <v>1</v>
      </c>
      <c r="H51" s="113">
        <v>2011</v>
      </c>
      <c r="I51" s="114"/>
    </row>
    <row r="52" spans="2:9" ht="15" customHeight="1">
      <c r="B52" s="210"/>
      <c r="C52" s="115" t="s">
        <v>212</v>
      </c>
      <c r="D52" s="115" t="s">
        <v>210</v>
      </c>
      <c r="E52" s="115" t="s">
        <v>213</v>
      </c>
      <c r="F52" s="115">
        <v>1000</v>
      </c>
      <c r="G52" s="115">
        <v>1</v>
      </c>
      <c r="H52" s="115">
        <v>2009</v>
      </c>
      <c r="I52" s="116"/>
    </row>
    <row r="53" spans="2:9" ht="15" customHeight="1">
      <c r="B53" s="210"/>
      <c r="C53" s="115" t="s">
        <v>214</v>
      </c>
      <c r="D53" s="115" t="s">
        <v>210</v>
      </c>
      <c r="E53" s="115" t="s">
        <v>215</v>
      </c>
      <c r="F53" s="115">
        <v>2000</v>
      </c>
      <c r="G53" s="115">
        <v>1</v>
      </c>
      <c r="H53" s="115">
        <v>2013</v>
      </c>
      <c r="I53" s="116"/>
    </row>
    <row r="54" spans="2:9" ht="15" customHeight="1">
      <c r="B54" s="210"/>
      <c r="C54" s="115" t="s">
        <v>216</v>
      </c>
      <c r="D54" s="115" t="s">
        <v>210</v>
      </c>
      <c r="E54" s="115" t="s">
        <v>217</v>
      </c>
      <c r="F54" s="115">
        <v>1500</v>
      </c>
      <c r="G54" s="115">
        <v>1</v>
      </c>
      <c r="H54" s="115">
        <v>2019</v>
      </c>
      <c r="I54" s="116"/>
    </row>
    <row r="55" spans="2:9" ht="15" customHeight="1">
      <c r="B55" s="210"/>
      <c r="C55" s="115" t="s">
        <v>218</v>
      </c>
      <c r="D55" s="115" t="s">
        <v>210</v>
      </c>
      <c r="E55" s="115" t="s">
        <v>219</v>
      </c>
      <c r="F55" s="115">
        <v>500</v>
      </c>
      <c r="G55" s="115">
        <v>1</v>
      </c>
      <c r="H55" s="115">
        <v>2011</v>
      </c>
      <c r="I55" s="116"/>
    </row>
    <row r="56" spans="2:9" ht="15" customHeight="1" thickBot="1">
      <c r="B56" s="211"/>
      <c r="C56" s="117" t="s">
        <v>218</v>
      </c>
      <c r="D56" s="117" t="s">
        <v>210</v>
      </c>
      <c r="E56" s="117" t="s">
        <v>220</v>
      </c>
      <c r="F56" s="117">
        <v>500</v>
      </c>
      <c r="G56" s="117">
        <v>1</v>
      </c>
      <c r="H56" s="117">
        <v>2020</v>
      </c>
      <c r="I56" s="118"/>
    </row>
    <row r="57" spans="2:9" ht="15" customHeight="1" thickBot="1">
      <c r="B57" s="126" t="s">
        <v>221</v>
      </c>
      <c r="C57" s="119" t="s">
        <v>222</v>
      </c>
      <c r="D57" s="119" t="s">
        <v>223</v>
      </c>
      <c r="E57" s="119" t="s">
        <v>224</v>
      </c>
      <c r="F57" s="119">
        <v>100</v>
      </c>
      <c r="G57" s="119">
        <v>1</v>
      </c>
      <c r="H57" s="119">
        <v>2007</v>
      </c>
      <c r="I57" s="120"/>
    </row>
    <row r="58" spans="2:9" ht="15" customHeight="1">
      <c r="B58" s="209" t="s">
        <v>225</v>
      </c>
      <c r="C58" s="113" t="s">
        <v>226</v>
      </c>
      <c r="D58" s="113" t="s">
        <v>227</v>
      </c>
      <c r="E58" s="113" t="s">
        <v>228</v>
      </c>
      <c r="F58" s="113">
        <v>120</v>
      </c>
      <c r="G58" s="113">
        <v>1</v>
      </c>
      <c r="H58" s="113">
        <v>2004</v>
      </c>
      <c r="I58" s="114"/>
    </row>
    <row r="59" spans="2:9" ht="15" customHeight="1" thickBot="1">
      <c r="B59" s="211"/>
      <c r="C59" s="117" t="s">
        <v>229</v>
      </c>
      <c r="D59" s="117" t="s">
        <v>227</v>
      </c>
      <c r="E59" s="117" t="s">
        <v>230</v>
      </c>
      <c r="F59" s="117">
        <v>250</v>
      </c>
      <c r="G59" s="117">
        <v>1</v>
      </c>
      <c r="H59" s="117">
        <v>2006</v>
      </c>
      <c r="I59" s="118"/>
    </row>
    <row r="60" spans="2:9" ht="15" customHeight="1">
      <c r="B60" s="212" t="s">
        <v>231</v>
      </c>
      <c r="C60" s="113" t="s">
        <v>232</v>
      </c>
      <c r="D60" s="113" t="s">
        <v>223</v>
      </c>
      <c r="E60" s="113" t="s">
        <v>233</v>
      </c>
      <c r="F60" s="113">
        <v>200</v>
      </c>
      <c r="G60" s="113">
        <v>1</v>
      </c>
      <c r="H60" s="113">
        <v>2011</v>
      </c>
      <c r="I60" s="114"/>
    </row>
    <row r="61" spans="2:9" ht="15" customHeight="1" thickBot="1">
      <c r="B61" s="213"/>
      <c r="C61" s="117" t="s">
        <v>234</v>
      </c>
      <c r="D61" s="117" t="s">
        <v>223</v>
      </c>
      <c r="E61" s="117" t="s">
        <v>235</v>
      </c>
      <c r="F61" s="117">
        <v>50</v>
      </c>
      <c r="G61" s="117">
        <v>1</v>
      </c>
      <c r="H61" s="117">
        <v>2011</v>
      </c>
      <c r="I61" s="118"/>
    </row>
    <row r="62" spans="2:9" ht="15" customHeight="1">
      <c r="B62" s="214" t="s">
        <v>236</v>
      </c>
      <c r="C62" s="113" t="s">
        <v>222</v>
      </c>
      <c r="D62" s="113" t="s">
        <v>223</v>
      </c>
      <c r="E62" s="113" t="s">
        <v>237</v>
      </c>
      <c r="F62" s="113">
        <v>100</v>
      </c>
      <c r="G62" s="113">
        <v>1</v>
      </c>
      <c r="H62" s="113">
        <v>2008</v>
      </c>
      <c r="I62" s="114"/>
    </row>
    <row r="63" spans="2:9" ht="15" customHeight="1" thickBot="1">
      <c r="B63" s="215"/>
      <c r="C63" s="117" t="s">
        <v>222</v>
      </c>
      <c r="D63" s="117" t="s">
        <v>223</v>
      </c>
      <c r="E63" s="117" t="s">
        <v>238</v>
      </c>
      <c r="F63" s="117">
        <v>100</v>
      </c>
      <c r="G63" s="117">
        <v>1</v>
      </c>
      <c r="H63" s="117">
        <v>2008</v>
      </c>
      <c r="I63" s="118"/>
    </row>
    <row r="64" spans="2:9" ht="15" customHeight="1">
      <c r="B64" s="207" t="s">
        <v>239</v>
      </c>
      <c r="C64" s="121" t="s">
        <v>240</v>
      </c>
      <c r="D64" s="113" t="s">
        <v>241</v>
      </c>
      <c r="E64" s="113" t="s">
        <v>242</v>
      </c>
      <c r="F64" s="113">
        <v>70</v>
      </c>
      <c r="G64" s="113">
        <v>1</v>
      </c>
      <c r="H64" s="113">
        <v>2013</v>
      </c>
      <c r="I64" s="114"/>
    </row>
    <row r="65" spans="2:9" ht="15" customHeight="1">
      <c r="B65" s="207"/>
      <c r="C65" s="122" t="s">
        <v>243</v>
      </c>
      <c r="D65" s="115" t="s">
        <v>244</v>
      </c>
      <c r="E65" s="115" t="s">
        <v>245</v>
      </c>
      <c r="F65" s="115">
        <v>200</v>
      </c>
      <c r="G65" s="115">
        <v>1</v>
      </c>
      <c r="H65" s="115">
        <v>2013</v>
      </c>
      <c r="I65" s="116"/>
    </row>
    <row r="66" spans="2:9" ht="15" customHeight="1" thickBot="1">
      <c r="B66" s="205"/>
      <c r="C66" s="123" t="s">
        <v>243</v>
      </c>
      <c r="D66" s="117" t="s">
        <v>241</v>
      </c>
      <c r="E66" s="117" t="s">
        <v>246</v>
      </c>
      <c r="F66" s="117">
        <v>200</v>
      </c>
      <c r="G66" s="117">
        <v>1</v>
      </c>
      <c r="H66" s="117">
        <v>2020</v>
      </c>
      <c r="I66" s="118"/>
    </row>
    <row r="67" spans="2:9" ht="15" customHeight="1">
      <c r="B67" s="127" t="s">
        <v>247</v>
      </c>
      <c r="C67" s="121" t="s">
        <v>209</v>
      </c>
      <c r="D67" s="113" t="s">
        <v>248</v>
      </c>
      <c r="E67" s="113" t="s">
        <v>249</v>
      </c>
      <c r="F67" s="113">
        <v>400</v>
      </c>
      <c r="G67" s="113">
        <v>1</v>
      </c>
      <c r="H67" s="113">
        <v>2019</v>
      </c>
      <c r="I67" s="114"/>
    </row>
    <row r="68" spans="2:9" ht="15" customHeight="1" thickBot="1">
      <c r="B68" s="128" t="s">
        <v>250</v>
      </c>
      <c r="C68" s="123" t="s">
        <v>243</v>
      </c>
      <c r="D68" s="117" t="s">
        <v>227</v>
      </c>
      <c r="E68" s="117" t="s">
        <v>251</v>
      </c>
      <c r="F68" s="117">
        <v>200</v>
      </c>
      <c r="G68" s="117">
        <v>1</v>
      </c>
      <c r="H68" s="117">
        <v>2011</v>
      </c>
      <c r="I68" s="118"/>
    </row>
    <row r="69" spans="2:9" ht="15" customHeight="1">
      <c r="B69" s="209" t="s">
        <v>252</v>
      </c>
      <c r="C69" s="121" t="s">
        <v>218</v>
      </c>
      <c r="D69" s="113" t="s">
        <v>248</v>
      </c>
      <c r="E69" s="113" t="s">
        <v>253</v>
      </c>
      <c r="F69" s="113">
        <v>500</v>
      </c>
      <c r="G69" s="113">
        <v>1</v>
      </c>
      <c r="H69" s="113">
        <v>1995</v>
      </c>
      <c r="I69" s="114"/>
    </row>
    <row r="70" spans="2:9" ht="15" customHeight="1">
      <c r="B70" s="210"/>
      <c r="C70" s="122" t="s">
        <v>254</v>
      </c>
      <c r="D70" s="115" t="s">
        <v>248</v>
      </c>
      <c r="E70" s="115" t="s">
        <v>255</v>
      </c>
      <c r="F70" s="115">
        <v>240</v>
      </c>
      <c r="G70" s="115">
        <v>1</v>
      </c>
      <c r="H70" s="115">
        <v>1995</v>
      </c>
      <c r="I70" s="116"/>
    </row>
    <row r="71" spans="2:9" ht="15" customHeight="1">
      <c r="B71" s="210"/>
      <c r="C71" s="122" t="s">
        <v>256</v>
      </c>
      <c r="D71" s="115" t="s">
        <v>248</v>
      </c>
      <c r="E71" s="115" t="s">
        <v>255</v>
      </c>
      <c r="F71" s="115">
        <v>140</v>
      </c>
      <c r="G71" s="115">
        <v>1</v>
      </c>
      <c r="H71" s="115">
        <v>1995</v>
      </c>
      <c r="I71" s="116"/>
    </row>
    <row r="72" spans="2:9" ht="15" customHeight="1" thickBot="1">
      <c r="B72" s="211"/>
      <c r="C72" s="123" t="s">
        <v>243</v>
      </c>
      <c r="D72" s="117" t="s">
        <v>248</v>
      </c>
      <c r="E72" s="117" t="s">
        <v>257</v>
      </c>
      <c r="F72" s="117">
        <v>200</v>
      </c>
      <c r="G72" s="117">
        <v>1</v>
      </c>
      <c r="H72" s="117">
        <v>1995</v>
      </c>
      <c r="I72" s="118"/>
    </row>
    <row r="73" spans="2:9" ht="15" customHeight="1">
      <c r="B73" s="209" t="s">
        <v>258</v>
      </c>
      <c r="C73" s="121" t="s">
        <v>218</v>
      </c>
      <c r="D73" s="113" t="s">
        <v>259</v>
      </c>
      <c r="E73" s="113" t="s">
        <v>260</v>
      </c>
      <c r="F73" s="113">
        <v>500</v>
      </c>
      <c r="G73" s="113">
        <v>1</v>
      </c>
      <c r="H73" s="113">
        <v>1960</v>
      </c>
      <c r="I73" s="114"/>
    </row>
    <row r="74" spans="2:9" ht="15" customHeight="1">
      <c r="B74" s="210"/>
      <c r="C74" s="122" t="s">
        <v>212</v>
      </c>
      <c r="D74" s="115" t="s">
        <v>223</v>
      </c>
      <c r="E74" s="115" t="s">
        <v>261</v>
      </c>
      <c r="F74" s="115">
        <v>1000</v>
      </c>
      <c r="G74" s="115">
        <v>1</v>
      </c>
      <c r="H74" s="115">
        <v>1993</v>
      </c>
      <c r="I74" s="116"/>
    </row>
    <row r="75" spans="2:9" ht="15" customHeight="1" thickBot="1">
      <c r="B75" s="211"/>
      <c r="C75" s="123" t="s">
        <v>212</v>
      </c>
      <c r="D75" s="117" t="s">
        <v>223</v>
      </c>
      <c r="E75" s="117" t="s">
        <v>260</v>
      </c>
      <c r="F75" s="117">
        <v>1000</v>
      </c>
      <c r="G75" s="117">
        <v>1</v>
      </c>
      <c r="H75" s="117">
        <v>2023</v>
      </c>
      <c r="I75" s="118"/>
    </row>
    <row r="76" spans="2:9" ht="15" customHeight="1">
      <c r="B76" s="209" t="s">
        <v>262</v>
      </c>
      <c r="C76" s="121" t="s">
        <v>263</v>
      </c>
      <c r="D76" s="113" t="s">
        <v>264</v>
      </c>
      <c r="E76" s="113" t="s">
        <v>265</v>
      </c>
      <c r="F76" s="113">
        <v>300</v>
      </c>
      <c r="G76" s="113">
        <v>1</v>
      </c>
      <c r="H76" s="113">
        <v>2021</v>
      </c>
      <c r="I76" s="114"/>
    </row>
    <row r="77" spans="2:9" ht="15" customHeight="1">
      <c r="B77" s="210"/>
      <c r="C77" s="122" t="s">
        <v>222</v>
      </c>
      <c r="D77" s="115" t="s">
        <v>264</v>
      </c>
      <c r="E77" s="115" t="s">
        <v>266</v>
      </c>
      <c r="F77" s="115">
        <v>100</v>
      </c>
      <c r="G77" s="115">
        <v>1</v>
      </c>
      <c r="H77" s="115">
        <v>2021</v>
      </c>
      <c r="I77" s="116"/>
    </row>
    <row r="78" spans="2:9" ht="15" customHeight="1">
      <c r="B78" s="210"/>
      <c r="C78" s="122" t="s">
        <v>267</v>
      </c>
      <c r="D78" s="115" t="s">
        <v>264</v>
      </c>
      <c r="E78" s="115" t="s">
        <v>268</v>
      </c>
      <c r="F78" s="115">
        <v>50</v>
      </c>
      <c r="G78" s="115">
        <v>1</v>
      </c>
      <c r="H78" s="115">
        <v>2021</v>
      </c>
      <c r="I78" s="116"/>
    </row>
    <row r="79" spans="2:9" ht="15" customHeight="1">
      <c r="B79" s="210"/>
      <c r="C79" s="122" t="s">
        <v>267</v>
      </c>
      <c r="D79" s="115" t="s">
        <v>264</v>
      </c>
      <c r="E79" s="115" t="s">
        <v>269</v>
      </c>
      <c r="F79" s="115">
        <v>50</v>
      </c>
      <c r="G79" s="115">
        <v>1</v>
      </c>
      <c r="H79" s="115">
        <v>2021</v>
      </c>
      <c r="I79" s="116"/>
    </row>
    <row r="80" spans="2:9" ht="15" customHeight="1">
      <c r="B80" s="210"/>
      <c r="C80" s="122" t="s">
        <v>267</v>
      </c>
      <c r="D80" s="115" t="s">
        <v>264</v>
      </c>
      <c r="E80" s="115" t="s">
        <v>270</v>
      </c>
      <c r="F80" s="115">
        <v>50</v>
      </c>
      <c r="G80" s="115">
        <v>1</v>
      </c>
      <c r="H80" s="115">
        <v>2021</v>
      </c>
      <c r="I80" s="116"/>
    </row>
    <row r="81" spans="2:9" ht="15" customHeight="1">
      <c r="B81" s="210"/>
      <c r="C81" s="122" t="s">
        <v>267</v>
      </c>
      <c r="D81" s="115" t="s">
        <v>264</v>
      </c>
      <c r="E81" s="115" t="s">
        <v>269</v>
      </c>
      <c r="F81" s="115">
        <v>50</v>
      </c>
      <c r="G81" s="115">
        <v>1</v>
      </c>
      <c r="H81" s="115">
        <v>2021</v>
      </c>
      <c r="I81" s="116"/>
    </row>
    <row r="82" spans="2:9" ht="15" customHeight="1" thickBot="1">
      <c r="B82" s="211"/>
      <c r="C82" s="123" t="s">
        <v>267</v>
      </c>
      <c r="D82" s="117" t="s">
        <v>264</v>
      </c>
      <c r="E82" s="117" t="s">
        <v>270</v>
      </c>
      <c r="F82" s="117">
        <v>50</v>
      </c>
      <c r="G82" s="117">
        <v>1</v>
      </c>
      <c r="H82" s="117">
        <v>2021</v>
      </c>
      <c r="I82" s="118"/>
    </row>
    <row r="83" spans="2:9" ht="15" customHeight="1">
      <c r="B83" s="206" t="s">
        <v>271</v>
      </c>
      <c r="C83" s="121" t="s">
        <v>229</v>
      </c>
      <c r="D83" s="113" t="s">
        <v>227</v>
      </c>
      <c r="E83" s="113" t="s">
        <v>272</v>
      </c>
      <c r="F83" s="113">
        <v>250</v>
      </c>
      <c r="G83" s="113">
        <v>1</v>
      </c>
      <c r="H83" s="113">
        <v>1992</v>
      </c>
      <c r="I83" s="114"/>
    </row>
    <row r="84" spans="2:9" ht="15" customHeight="1">
      <c r="B84" s="207"/>
      <c r="C84" s="122" t="s">
        <v>222</v>
      </c>
      <c r="D84" s="115" t="s">
        <v>223</v>
      </c>
      <c r="E84" s="115"/>
      <c r="F84" s="115">
        <v>200</v>
      </c>
      <c r="G84" s="115">
        <v>1</v>
      </c>
      <c r="H84" s="115"/>
      <c r="I84" s="116"/>
    </row>
    <row r="85" spans="2:9" ht="15" customHeight="1" thickBot="1">
      <c r="B85" s="205"/>
      <c r="C85" s="123" t="s">
        <v>273</v>
      </c>
      <c r="D85" s="117" t="s">
        <v>274</v>
      </c>
      <c r="E85" s="117"/>
      <c r="F85" s="117">
        <v>50</v>
      </c>
      <c r="G85" s="117">
        <v>1</v>
      </c>
      <c r="H85" s="117"/>
      <c r="I85" s="118"/>
    </row>
    <row r="86" spans="2:9" ht="15" customHeight="1">
      <c r="B86" s="206" t="s">
        <v>275</v>
      </c>
      <c r="C86" s="121" t="s">
        <v>263</v>
      </c>
      <c r="D86" s="113" t="s">
        <v>210</v>
      </c>
      <c r="E86" s="113" t="s">
        <v>276</v>
      </c>
      <c r="F86" s="113">
        <v>300</v>
      </c>
      <c r="G86" s="113">
        <v>1</v>
      </c>
      <c r="H86" s="113">
        <v>2002</v>
      </c>
      <c r="I86" s="114"/>
    </row>
    <row r="87" spans="2:9" ht="15" customHeight="1">
      <c r="B87" s="207"/>
      <c r="C87" s="122" t="s">
        <v>277</v>
      </c>
      <c r="D87" s="115" t="s">
        <v>223</v>
      </c>
      <c r="E87" s="115" t="s">
        <v>278</v>
      </c>
      <c r="F87" s="115">
        <v>80</v>
      </c>
      <c r="G87" s="115">
        <v>1</v>
      </c>
      <c r="H87" s="115">
        <v>1992</v>
      </c>
      <c r="I87" s="116"/>
    </row>
    <row r="88" spans="2:9" ht="15" customHeight="1" thickBot="1">
      <c r="B88" s="216"/>
      <c r="C88" s="123" t="s">
        <v>222</v>
      </c>
      <c r="D88" s="117" t="s">
        <v>279</v>
      </c>
      <c r="E88" s="117" t="s">
        <v>280</v>
      </c>
      <c r="F88" s="117">
        <v>100</v>
      </c>
      <c r="G88" s="117">
        <v>1</v>
      </c>
      <c r="H88" s="117">
        <v>2013</v>
      </c>
      <c r="I88" s="118"/>
    </row>
    <row r="89" spans="2:9" ht="15" customHeight="1">
      <c r="B89" s="204" t="s">
        <v>281</v>
      </c>
      <c r="C89" s="121" t="s">
        <v>282</v>
      </c>
      <c r="D89" s="113" t="s">
        <v>227</v>
      </c>
      <c r="E89" s="113" t="s">
        <v>283</v>
      </c>
      <c r="F89" s="113">
        <v>150</v>
      </c>
      <c r="G89" s="113">
        <v>1</v>
      </c>
      <c r="H89" s="113">
        <v>2009</v>
      </c>
      <c r="I89" s="114"/>
    </row>
    <row r="90" spans="2:9" ht="15" customHeight="1">
      <c r="B90" s="207"/>
      <c r="C90" s="122" t="s">
        <v>267</v>
      </c>
      <c r="D90" s="115" t="s">
        <v>227</v>
      </c>
      <c r="E90" s="115" t="s">
        <v>283</v>
      </c>
      <c r="F90" s="115">
        <v>50</v>
      </c>
      <c r="G90" s="115">
        <v>1</v>
      </c>
      <c r="H90" s="115">
        <v>2009</v>
      </c>
      <c r="I90" s="116"/>
    </row>
    <row r="91" spans="2:9" ht="15" customHeight="1">
      <c r="B91" s="207"/>
      <c r="C91" s="122" t="s">
        <v>277</v>
      </c>
      <c r="D91" s="115" t="s">
        <v>284</v>
      </c>
      <c r="E91" s="115" t="s">
        <v>283</v>
      </c>
      <c r="F91" s="115">
        <v>80</v>
      </c>
      <c r="G91" s="115">
        <v>1</v>
      </c>
      <c r="H91" s="115">
        <v>2009</v>
      </c>
      <c r="I91" s="116"/>
    </row>
    <row r="92" spans="2:9" ht="15" customHeight="1" thickBot="1">
      <c r="B92" s="205"/>
      <c r="C92" s="123" t="s">
        <v>222</v>
      </c>
      <c r="D92" s="117" t="s">
        <v>227</v>
      </c>
      <c r="E92" s="117" t="s">
        <v>285</v>
      </c>
      <c r="F92" s="117">
        <v>100</v>
      </c>
      <c r="G92" s="117">
        <v>1</v>
      </c>
      <c r="H92" s="117"/>
      <c r="I92" s="118"/>
    </row>
    <row r="93" spans="2:9" ht="15" customHeight="1" thickBot="1">
      <c r="B93" s="129" t="s">
        <v>286</v>
      </c>
      <c r="C93" s="119" t="s">
        <v>263</v>
      </c>
      <c r="D93" s="119" t="s">
        <v>223</v>
      </c>
      <c r="E93" s="119" t="s">
        <v>287</v>
      </c>
      <c r="F93" s="119">
        <v>300</v>
      </c>
      <c r="G93" s="119">
        <v>1</v>
      </c>
      <c r="H93" s="119">
        <v>2008</v>
      </c>
      <c r="I93" s="120"/>
    </row>
    <row r="94" spans="2:9" ht="15" customHeight="1">
      <c r="B94" s="207" t="s">
        <v>288</v>
      </c>
      <c r="C94" s="121" t="s">
        <v>222</v>
      </c>
      <c r="D94" s="113" t="s">
        <v>223</v>
      </c>
      <c r="E94" s="113"/>
      <c r="F94" s="113">
        <v>100</v>
      </c>
      <c r="G94" s="113">
        <v>1</v>
      </c>
      <c r="H94" s="113">
        <v>2013</v>
      </c>
      <c r="I94" s="114"/>
    </row>
    <row r="95" spans="2:9" ht="15" customHeight="1">
      <c r="B95" s="207"/>
      <c r="C95" s="122" t="s">
        <v>229</v>
      </c>
      <c r="D95" s="115" t="s">
        <v>289</v>
      </c>
      <c r="E95" s="115" t="s">
        <v>290</v>
      </c>
      <c r="F95" s="115">
        <v>250</v>
      </c>
      <c r="G95" s="115">
        <v>1</v>
      </c>
      <c r="H95" s="115">
        <v>2006</v>
      </c>
      <c r="I95" s="116"/>
    </row>
    <row r="96" spans="2:9" ht="15" customHeight="1" thickBot="1">
      <c r="B96" s="216"/>
      <c r="C96" s="123" t="s">
        <v>291</v>
      </c>
      <c r="D96" s="117" t="s">
        <v>292</v>
      </c>
      <c r="E96" s="117" t="s">
        <v>293</v>
      </c>
      <c r="F96" s="117">
        <v>174</v>
      </c>
      <c r="G96" s="117">
        <v>1</v>
      </c>
      <c r="H96" s="117">
        <v>2006</v>
      </c>
      <c r="I96" s="118"/>
    </row>
    <row r="97" spans="2:9" ht="15" customHeight="1">
      <c r="B97" s="204" t="s">
        <v>294</v>
      </c>
      <c r="C97" s="121" t="s">
        <v>222</v>
      </c>
      <c r="D97" s="113" t="s">
        <v>264</v>
      </c>
      <c r="E97" s="113" t="s">
        <v>295</v>
      </c>
      <c r="F97" s="113">
        <v>100</v>
      </c>
      <c r="G97" s="113">
        <v>1</v>
      </c>
      <c r="H97" s="113">
        <v>2007</v>
      </c>
      <c r="I97" s="114"/>
    </row>
    <row r="98" spans="2:9" ht="15" customHeight="1">
      <c r="B98" s="207"/>
      <c r="C98" s="122" t="s">
        <v>222</v>
      </c>
      <c r="D98" s="115" t="s">
        <v>264</v>
      </c>
      <c r="E98" s="115" t="s">
        <v>296</v>
      </c>
      <c r="F98" s="115">
        <v>100</v>
      </c>
      <c r="G98" s="115">
        <v>1</v>
      </c>
      <c r="H98" s="115">
        <v>2013</v>
      </c>
      <c r="I98" s="116"/>
    </row>
    <row r="99" spans="2:9" ht="15" customHeight="1" thickBot="1">
      <c r="B99" s="205"/>
      <c r="C99" s="123" t="s">
        <v>222</v>
      </c>
      <c r="D99" s="117" t="s">
        <v>297</v>
      </c>
      <c r="E99" s="117" t="s">
        <v>296</v>
      </c>
      <c r="F99" s="117">
        <v>100</v>
      </c>
      <c r="G99" s="117">
        <v>1</v>
      </c>
      <c r="H99" s="117">
        <v>2023</v>
      </c>
      <c r="I99" s="118"/>
    </row>
    <row r="100" spans="2:9" ht="15" customHeight="1" thickBot="1">
      <c r="B100" s="206" t="s">
        <v>298</v>
      </c>
      <c r="C100" s="121" t="s">
        <v>267</v>
      </c>
      <c r="D100" s="117" t="s">
        <v>248</v>
      </c>
      <c r="E100" s="113"/>
      <c r="F100" s="113">
        <v>50</v>
      </c>
      <c r="G100" s="113">
        <v>1</v>
      </c>
      <c r="H100" s="113">
        <v>2009</v>
      </c>
      <c r="I100" s="114"/>
    </row>
    <row r="101" spans="2:9" ht="15" customHeight="1" thickBot="1">
      <c r="B101" s="205"/>
      <c r="C101" s="123" t="s">
        <v>243</v>
      </c>
      <c r="D101" s="117" t="s">
        <v>248</v>
      </c>
      <c r="E101" s="117" t="s">
        <v>299</v>
      </c>
      <c r="F101" s="117">
        <v>240</v>
      </c>
      <c r="G101" s="117">
        <v>1</v>
      </c>
      <c r="H101" s="117">
        <v>2009</v>
      </c>
      <c r="I101" s="118"/>
    </row>
    <row r="102" spans="2:9" ht="15" customHeight="1">
      <c r="B102" s="206" t="s">
        <v>300</v>
      </c>
      <c r="C102" s="121" t="s">
        <v>282</v>
      </c>
      <c r="D102" s="113" t="s">
        <v>223</v>
      </c>
      <c r="E102" s="113" t="s">
        <v>301</v>
      </c>
      <c r="F102" s="113">
        <v>150</v>
      </c>
      <c r="G102" s="113">
        <v>1</v>
      </c>
      <c r="H102" s="113">
        <v>1996</v>
      </c>
      <c r="I102" s="114"/>
    </row>
    <row r="103" spans="2:9" ht="15" customHeight="1">
      <c r="B103" s="207"/>
      <c r="C103" s="122" t="s">
        <v>263</v>
      </c>
      <c r="D103" s="115" t="s">
        <v>223</v>
      </c>
      <c r="E103" s="115" t="s">
        <v>302</v>
      </c>
      <c r="F103" s="115">
        <v>300</v>
      </c>
      <c r="G103" s="115">
        <v>1</v>
      </c>
      <c r="H103" s="115">
        <v>1996</v>
      </c>
      <c r="I103" s="116"/>
    </row>
    <row r="104" spans="2:9" ht="15" customHeight="1">
      <c r="B104" s="207"/>
      <c r="C104" s="122" t="s">
        <v>303</v>
      </c>
      <c r="D104" s="115" t="s">
        <v>223</v>
      </c>
      <c r="E104" s="115" t="s">
        <v>304</v>
      </c>
      <c r="F104" s="115">
        <v>170</v>
      </c>
      <c r="G104" s="115">
        <v>1</v>
      </c>
      <c r="H104" s="115"/>
      <c r="I104" s="116"/>
    </row>
    <row r="105" spans="2:9" ht="15" customHeight="1">
      <c r="B105" s="207"/>
      <c r="C105" s="122" t="s">
        <v>305</v>
      </c>
      <c r="D105" s="115" t="s">
        <v>223</v>
      </c>
      <c r="E105" s="115" t="s">
        <v>306</v>
      </c>
      <c r="F105" s="115">
        <v>25</v>
      </c>
      <c r="G105" s="115">
        <v>1</v>
      </c>
      <c r="H105" s="115">
        <v>1996</v>
      </c>
      <c r="I105" s="116"/>
    </row>
    <row r="106" spans="2:9" ht="15" customHeight="1" thickBot="1">
      <c r="B106" s="205"/>
      <c r="C106" s="123" t="s">
        <v>218</v>
      </c>
      <c r="D106" s="117" t="s">
        <v>223</v>
      </c>
      <c r="E106" s="117" t="s">
        <v>307</v>
      </c>
      <c r="F106" s="117">
        <v>500</v>
      </c>
      <c r="G106" s="117">
        <v>1</v>
      </c>
      <c r="H106" s="117">
        <v>1996</v>
      </c>
      <c r="I106" s="118"/>
    </row>
    <row r="107" spans="2:9" ht="15" customHeight="1">
      <c r="B107" s="206" t="s">
        <v>308</v>
      </c>
      <c r="C107" s="121" t="s">
        <v>309</v>
      </c>
      <c r="D107" s="113" t="s">
        <v>223</v>
      </c>
      <c r="E107" s="113" t="s">
        <v>310</v>
      </c>
      <c r="F107" s="113">
        <v>600</v>
      </c>
      <c r="G107" s="113">
        <v>1</v>
      </c>
      <c r="H107" s="113">
        <v>2006</v>
      </c>
      <c r="I107" s="114"/>
    </row>
    <row r="108" spans="2:9" ht="15" customHeight="1">
      <c r="B108" s="207"/>
      <c r="C108" s="122" t="s">
        <v>311</v>
      </c>
      <c r="D108" s="115" t="s">
        <v>223</v>
      </c>
      <c r="E108" s="115"/>
      <c r="F108" s="115" t="s">
        <v>312</v>
      </c>
      <c r="G108" s="115">
        <v>1</v>
      </c>
      <c r="H108" s="115">
        <v>2016</v>
      </c>
      <c r="I108" s="116"/>
    </row>
    <row r="109" spans="2:9" ht="15" customHeight="1">
      <c r="B109" s="207"/>
      <c r="C109" s="122" t="s">
        <v>313</v>
      </c>
      <c r="D109" s="115" t="s">
        <v>223</v>
      </c>
      <c r="E109" s="115" t="s">
        <v>314</v>
      </c>
      <c r="F109" s="115" t="s">
        <v>315</v>
      </c>
      <c r="G109" s="115">
        <v>1</v>
      </c>
      <c r="H109" s="115">
        <v>2012</v>
      </c>
      <c r="I109" s="116"/>
    </row>
    <row r="110" spans="2:9" ht="15" customHeight="1">
      <c r="B110" s="207"/>
      <c r="C110" s="122" t="s">
        <v>313</v>
      </c>
      <c r="D110" s="115" t="s">
        <v>223</v>
      </c>
      <c r="E110" s="115"/>
      <c r="F110" s="115" t="s">
        <v>315</v>
      </c>
      <c r="G110" s="115">
        <v>1</v>
      </c>
      <c r="H110" s="115">
        <v>2012</v>
      </c>
      <c r="I110" s="116"/>
    </row>
    <row r="111" spans="2:9" ht="15" customHeight="1">
      <c r="B111" s="207"/>
      <c r="C111" s="122" t="s">
        <v>311</v>
      </c>
      <c r="D111" s="115" t="s">
        <v>223</v>
      </c>
      <c r="E111" s="115"/>
      <c r="F111" s="115" t="s">
        <v>312</v>
      </c>
      <c r="G111" s="115">
        <v>1</v>
      </c>
      <c r="H111" s="115">
        <v>2012</v>
      </c>
      <c r="I111" s="116"/>
    </row>
    <row r="112" spans="2:9" ht="15" customHeight="1" thickBot="1">
      <c r="B112" s="216"/>
      <c r="C112" s="123" t="s">
        <v>311</v>
      </c>
      <c r="D112" s="117" t="s">
        <v>316</v>
      </c>
      <c r="E112" s="117"/>
      <c r="F112" s="117">
        <v>50</v>
      </c>
      <c r="G112" s="117">
        <v>1</v>
      </c>
      <c r="H112" s="117"/>
      <c r="I112" s="118"/>
    </row>
    <row r="113" spans="2:9" ht="15" customHeight="1">
      <c r="B113" s="204" t="s">
        <v>317</v>
      </c>
      <c r="C113" s="121" t="s">
        <v>318</v>
      </c>
      <c r="D113" s="113" t="s">
        <v>223</v>
      </c>
      <c r="E113" s="113" t="s">
        <v>319</v>
      </c>
      <c r="F113" s="113" t="s">
        <v>320</v>
      </c>
      <c r="G113" s="113">
        <v>1</v>
      </c>
      <c r="H113" s="113">
        <v>2014</v>
      </c>
      <c r="I113" s="114"/>
    </row>
    <row r="114" spans="2:9" ht="15" customHeight="1" thickBot="1">
      <c r="B114" s="205"/>
      <c r="C114" s="123" t="s">
        <v>321</v>
      </c>
      <c r="D114" s="117" t="s">
        <v>223</v>
      </c>
      <c r="E114" s="117" t="s">
        <v>322</v>
      </c>
      <c r="F114" s="117" t="s">
        <v>323</v>
      </c>
      <c r="G114" s="117">
        <v>1</v>
      </c>
      <c r="H114" s="117">
        <v>2014</v>
      </c>
      <c r="I114" s="118"/>
    </row>
    <row r="115" spans="2:9" ht="15" customHeight="1">
      <c r="B115" s="206" t="s">
        <v>324</v>
      </c>
      <c r="C115" s="121" t="s">
        <v>267</v>
      </c>
      <c r="D115" s="113" t="s">
        <v>223</v>
      </c>
      <c r="E115" s="115" t="s">
        <v>325</v>
      </c>
      <c r="F115" s="113">
        <v>50</v>
      </c>
      <c r="G115" s="113">
        <v>1</v>
      </c>
      <c r="H115" s="113">
        <v>2002</v>
      </c>
      <c r="I115" s="114"/>
    </row>
    <row r="116" spans="2:9" ht="15" customHeight="1">
      <c r="B116" s="207"/>
      <c r="C116" s="122" t="s">
        <v>209</v>
      </c>
      <c r="D116" s="115" t="s">
        <v>223</v>
      </c>
      <c r="E116" s="115" t="s">
        <v>326</v>
      </c>
      <c r="F116" s="115">
        <v>400</v>
      </c>
      <c r="G116" s="115">
        <v>1</v>
      </c>
      <c r="H116" s="115">
        <v>2003</v>
      </c>
      <c r="I116" s="116"/>
    </row>
    <row r="117" spans="2:9" ht="15" customHeight="1">
      <c r="B117" s="207"/>
      <c r="C117" s="122" t="s">
        <v>282</v>
      </c>
      <c r="D117" s="115" t="s">
        <v>223</v>
      </c>
      <c r="E117" s="115" t="s">
        <v>327</v>
      </c>
      <c r="F117" s="115">
        <v>150</v>
      </c>
      <c r="G117" s="115">
        <v>1</v>
      </c>
      <c r="H117" s="115">
        <v>2002</v>
      </c>
      <c r="I117" s="116"/>
    </row>
    <row r="118" spans="2:9" ht="15" customHeight="1" thickBot="1">
      <c r="B118" s="205"/>
      <c r="C118" s="123" t="s">
        <v>328</v>
      </c>
      <c r="D118" s="117" t="s">
        <v>223</v>
      </c>
      <c r="E118" s="125" t="s">
        <v>329</v>
      </c>
      <c r="F118" s="117">
        <v>60</v>
      </c>
      <c r="G118" s="117">
        <v>1</v>
      </c>
      <c r="H118" s="117">
        <v>2002</v>
      </c>
      <c r="I118" s="118"/>
    </row>
    <row r="119" spans="2:9" ht="15" customHeight="1" thickBot="1">
      <c r="B119" s="126" t="s">
        <v>330</v>
      </c>
      <c r="C119" s="124" t="s">
        <v>243</v>
      </c>
      <c r="D119" s="119" t="s">
        <v>264</v>
      </c>
      <c r="E119" s="119" t="s">
        <v>331</v>
      </c>
      <c r="F119" s="119">
        <v>200</v>
      </c>
      <c r="G119" s="119">
        <v>1</v>
      </c>
      <c r="H119" s="119">
        <v>2011</v>
      </c>
      <c r="I119" s="120"/>
    </row>
    <row r="120" spans="2:9" ht="15" customHeight="1">
      <c r="B120" s="206" t="s">
        <v>332</v>
      </c>
      <c r="C120" s="121" t="s">
        <v>243</v>
      </c>
      <c r="D120" s="113" t="s">
        <v>264</v>
      </c>
      <c r="E120" s="113" t="s">
        <v>333</v>
      </c>
      <c r="F120" s="113">
        <v>200</v>
      </c>
      <c r="G120" s="113">
        <v>1</v>
      </c>
      <c r="H120" s="113">
        <v>2019</v>
      </c>
      <c r="I120" s="114"/>
    </row>
    <row r="121" spans="2:9" ht="15" customHeight="1">
      <c r="B121" s="207"/>
      <c r="C121" s="122" t="s">
        <v>222</v>
      </c>
      <c r="D121" s="115" t="s">
        <v>264</v>
      </c>
      <c r="E121" s="115" t="s">
        <v>334</v>
      </c>
      <c r="F121" s="115">
        <v>50</v>
      </c>
      <c r="G121" s="115">
        <v>1</v>
      </c>
      <c r="H121" s="115">
        <v>2019</v>
      </c>
      <c r="I121" s="116"/>
    </row>
    <row r="122" spans="2:9" ht="15" customHeight="1">
      <c r="B122" s="207"/>
      <c r="C122" s="122" t="s">
        <v>335</v>
      </c>
      <c r="D122" s="115" t="s">
        <v>336</v>
      </c>
      <c r="E122" s="115" t="s">
        <v>337</v>
      </c>
      <c r="F122" s="115">
        <v>25</v>
      </c>
      <c r="G122" s="115">
        <v>1</v>
      </c>
      <c r="H122" s="115">
        <v>2019</v>
      </c>
      <c r="I122" s="116"/>
    </row>
    <row r="123" spans="2:9" ht="15" customHeight="1" thickBot="1">
      <c r="B123" s="205"/>
      <c r="C123" s="123" t="s">
        <v>335</v>
      </c>
      <c r="D123" s="117" t="s">
        <v>336</v>
      </c>
      <c r="E123" s="117" t="s">
        <v>338</v>
      </c>
      <c r="F123" s="117">
        <v>25</v>
      </c>
      <c r="G123" s="117">
        <v>1</v>
      </c>
      <c r="H123" s="117">
        <v>2019</v>
      </c>
      <c r="I123" s="118"/>
    </row>
  </sheetData>
  <mergeCells count="21">
    <mergeCell ref="B97:B99"/>
    <mergeCell ref="B100:B101"/>
    <mergeCell ref="B102:B106"/>
    <mergeCell ref="B107:B112"/>
    <mergeCell ref="D5:F5"/>
    <mergeCell ref="B113:B114"/>
    <mergeCell ref="B115:B118"/>
    <mergeCell ref="B120:B123"/>
    <mergeCell ref="B50:I50"/>
    <mergeCell ref="B51:B56"/>
    <mergeCell ref="B58:B59"/>
    <mergeCell ref="B60:B61"/>
    <mergeCell ref="B62:B63"/>
    <mergeCell ref="B64:B66"/>
    <mergeCell ref="B69:B72"/>
    <mergeCell ref="B73:B75"/>
    <mergeCell ref="B76:B82"/>
    <mergeCell ref="B83:B85"/>
    <mergeCell ref="B86:B88"/>
    <mergeCell ref="B89:B92"/>
    <mergeCell ref="B94:B96"/>
  </mergeCells>
  <dataValidations count="1">
    <dataValidation type="date" allowBlank="1" showInputMessage="1" showErrorMessage="1" sqref="H84:H106 H51:H82 H117:H123">
      <formula1>1</formula1>
      <formula2>73415</formula2>
    </dataValidation>
  </dataValidation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100"/>
  <sheetViews>
    <sheetView tabSelected="1" workbookViewId="0">
      <selection activeCell="J31" sqref="J31"/>
    </sheetView>
  </sheetViews>
  <sheetFormatPr baseColWidth="10" defaultColWidth="14.42578125" defaultRowHeight="15" customHeight="1"/>
  <cols>
    <col min="1" max="1" width="10.7109375" customWidth="1"/>
    <col min="2" max="2" width="28.7109375" customWidth="1"/>
    <col min="3" max="3" width="16.7109375" customWidth="1"/>
    <col min="4" max="4" width="19.28515625" customWidth="1"/>
    <col min="5" max="5" width="20.42578125" customWidth="1"/>
    <col min="6" max="9" width="12.7109375" customWidth="1"/>
    <col min="10" max="10" width="33.5703125" customWidth="1"/>
    <col min="11" max="11" width="10.7109375" customWidth="1"/>
  </cols>
  <sheetData>
    <row r="1" spans="1:11" ht="14.25" customHeight="1">
      <c r="A1" s="43" t="s">
        <v>97</v>
      </c>
    </row>
    <row r="2" spans="1:11" ht="14.25" customHeight="1">
      <c r="A2" s="43" t="s">
        <v>173</v>
      </c>
    </row>
    <row r="3" spans="1:11" ht="14.25" customHeight="1">
      <c r="A3" s="45" t="s">
        <v>174</v>
      </c>
      <c r="B3" s="44"/>
      <c r="C3" s="44"/>
      <c r="D3" s="44"/>
      <c r="E3" s="44"/>
      <c r="F3" s="44"/>
      <c r="G3" s="44"/>
      <c r="H3" s="44"/>
      <c r="I3" s="44"/>
      <c r="J3" s="44"/>
      <c r="K3" s="44"/>
    </row>
    <row r="4" spans="1:11" ht="14.25" customHeight="1">
      <c r="A4" s="43"/>
    </row>
    <row r="5" spans="1:11" ht="34.5" customHeight="1">
      <c r="C5" s="46"/>
      <c r="D5" s="46" t="s">
        <v>175</v>
      </c>
    </row>
    <row r="6" spans="1:11" ht="14.25" customHeight="1"/>
    <row r="7" spans="1:11" ht="30.75" customHeight="1">
      <c r="B7" s="223" t="s">
        <v>1</v>
      </c>
      <c r="C7" s="223" t="s">
        <v>101</v>
      </c>
      <c r="D7" s="223" t="s">
        <v>102</v>
      </c>
      <c r="E7" s="223" t="s">
        <v>103</v>
      </c>
      <c r="F7" s="48" t="s">
        <v>176</v>
      </c>
      <c r="G7" s="223" t="s">
        <v>177</v>
      </c>
      <c r="H7" s="223" t="s">
        <v>178</v>
      </c>
      <c r="I7" s="223" t="s">
        <v>106</v>
      </c>
      <c r="J7" s="223" t="s">
        <v>107</v>
      </c>
    </row>
    <row r="8" spans="1:11" ht="36" customHeight="1">
      <c r="B8" s="224"/>
      <c r="C8" s="224"/>
      <c r="D8" s="224"/>
      <c r="E8" s="224"/>
      <c r="F8" s="57" t="s">
        <v>179</v>
      </c>
      <c r="G8" s="224"/>
      <c r="H8" s="224"/>
      <c r="I8" s="224"/>
      <c r="J8" s="224"/>
    </row>
    <row r="9" spans="1:11" ht="14.25" customHeight="1">
      <c r="B9" s="11" t="s">
        <v>9</v>
      </c>
      <c r="C9" s="12" t="s">
        <v>10</v>
      </c>
      <c r="D9" s="17" t="s">
        <v>180</v>
      </c>
      <c r="E9" s="49" t="s">
        <v>110</v>
      </c>
      <c r="F9" s="12">
        <v>45</v>
      </c>
      <c r="G9" s="12">
        <v>3</v>
      </c>
      <c r="H9" s="12">
        <v>150</v>
      </c>
      <c r="I9" s="58">
        <v>36048</v>
      </c>
      <c r="J9" s="59"/>
    </row>
    <row r="10" spans="1:11" ht="14.25" customHeight="1">
      <c r="B10" s="11" t="s">
        <v>11</v>
      </c>
      <c r="C10" s="12" t="s">
        <v>12</v>
      </c>
      <c r="D10" s="17" t="s">
        <v>180</v>
      </c>
      <c r="E10" s="51" t="s">
        <v>126</v>
      </c>
      <c r="F10" s="12">
        <v>5.5</v>
      </c>
      <c r="G10" s="12">
        <v>2</v>
      </c>
      <c r="H10" s="12">
        <v>5</v>
      </c>
      <c r="I10" s="58">
        <v>39171</v>
      </c>
      <c r="J10" s="59"/>
    </row>
    <row r="11" spans="1:11" ht="14.25" customHeight="1">
      <c r="B11" s="11" t="s">
        <v>13</v>
      </c>
      <c r="C11" s="12" t="s">
        <v>14</v>
      </c>
      <c r="D11" s="17" t="s">
        <v>180</v>
      </c>
      <c r="E11" s="51" t="s">
        <v>138</v>
      </c>
      <c r="F11" s="12">
        <v>22</v>
      </c>
      <c r="G11" s="12">
        <v>3</v>
      </c>
      <c r="H11" s="12">
        <v>13</v>
      </c>
      <c r="I11" s="60">
        <v>40909</v>
      </c>
      <c r="J11" s="59"/>
    </row>
    <row r="12" spans="1:11" ht="14.25" customHeight="1">
      <c r="B12" s="14" t="s">
        <v>15</v>
      </c>
      <c r="C12" s="14" t="s">
        <v>16</v>
      </c>
      <c r="D12" s="17" t="s">
        <v>180</v>
      </c>
      <c r="E12" s="49" t="s">
        <v>181</v>
      </c>
      <c r="F12" s="15">
        <v>11</v>
      </c>
      <c r="G12" s="15">
        <v>2</v>
      </c>
      <c r="H12" s="15">
        <v>5</v>
      </c>
      <c r="I12" s="50">
        <v>39417</v>
      </c>
      <c r="J12" s="14"/>
    </row>
    <row r="13" spans="1:11" ht="14.25" customHeight="1">
      <c r="B13" s="11" t="s">
        <v>17</v>
      </c>
      <c r="C13" s="12" t="s">
        <v>18</v>
      </c>
      <c r="D13" s="17" t="s">
        <v>180</v>
      </c>
      <c r="E13" s="49" t="s">
        <v>182</v>
      </c>
      <c r="F13" s="12">
        <v>45</v>
      </c>
      <c r="G13" s="12">
        <v>4</v>
      </c>
      <c r="H13" s="12">
        <v>71</v>
      </c>
      <c r="I13" s="58">
        <v>43617</v>
      </c>
      <c r="J13" s="59"/>
    </row>
    <row r="14" spans="1:11" ht="14.25" customHeight="1">
      <c r="B14" s="11" t="s">
        <v>19</v>
      </c>
      <c r="C14" s="17" t="s">
        <v>20</v>
      </c>
      <c r="D14" s="17" t="s">
        <v>180</v>
      </c>
      <c r="E14" s="49" t="s">
        <v>157</v>
      </c>
      <c r="F14" s="15">
        <v>2.2000000000000002</v>
      </c>
      <c r="G14" s="15">
        <v>2</v>
      </c>
      <c r="H14" s="15">
        <v>1.5</v>
      </c>
      <c r="I14" s="61">
        <v>43983</v>
      </c>
      <c r="J14" s="14"/>
    </row>
    <row r="15" spans="1:11" ht="14.25" customHeight="1">
      <c r="B15" s="11" t="s">
        <v>19</v>
      </c>
      <c r="C15" s="17" t="s">
        <v>21</v>
      </c>
      <c r="D15" s="17" t="s">
        <v>180</v>
      </c>
      <c r="E15" s="49" t="s">
        <v>183</v>
      </c>
      <c r="F15" s="15">
        <v>0.75</v>
      </c>
      <c r="G15" s="15">
        <v>2</v>
      </c>
      <c r="H15" s="15">
        <v>1.5</v>
      </c>
      <c r="I15" s="61">
        <v>43983</v>
      </c>
      <c r="J15" s="14"/>
    </row>
    <row r="16" spans="1:11" ht="14.25" customHeight="1">
      <c r="B16" s="11" t="s">
        <v>19</v>
      </c>
      <c r="C16" s="17" t="s">
        <v>22</v>
      </c>
      <c r="D16" s="17" t="s">
        <v>180</v>
      </c>
      <c r="E16" s="49" t="s">
        <v>184</v>
      </c>
      <c r="F16" s="15">
        <v>2.2000000000000002</v>
      </c>
      <c r="G16" s="15">
        <v>2</v>
      </c>
      <c r="H16" s="15">
        <v>1.5</v>
      </c>
      <c r="I16" s="61">
        <v>43983</v>
      </c>
      <c r="J16" s="14"/>
    </row>
    <row r="17" spans="2:10" ht="14.25" customHeight="1">
      <c r="B17" s="11" t="s">
        <v>19</v>
      </c>
      <c r="C17" s="17" t="s">
        <v>23</v>
      </c>
      <c r="D17" s="17" t="s">
        <v>180</v>
      </c>
      <c r="E17" s="49" t="s">
        <v>161</v>
      </c>
      <c r="F17" s="15">
        <v>5.5</v>
      </c>
      <c r="G17" s="15">
        <v>2</v>
      </c>
      <c r="H17" s="15">
        <v>1.5</v>
      </c>
      <c r="I17" s="61">
        <v>43983</v>
      </c>
      <c r="J17" s="14"/>
    </row>
    <row r="18" spans="2:10" ht="14.25" customHeight="1">
      <c r="B18" s="11" t="s">
        <v>24</v>
      </c>
      <c r="C18" s="17" t="s">
        <v>25</v>
      </c>
      <c r="D18" s="17" t="s">
        <v>180</v>
      </c>
      <c r="E18" s="49" t="s">
        <v>185</v>
      </c>
      <c r="F18" s="15">
        <v>4</v>
      </c>
      <c r="G18" s="15">
        <v>2</v>
      </c>
      <c r="H18" s="15">
        <v>1.5</v>
      </c>
      <c r="I18" s="61">
        <v>43983</v>
      </c>
      <c r="J18" s="14"/>
    </row>
    <row r="19" spans="2:10" ht="14.25" customHeight="1">
      <c r="B19" s="18" t="s">
        <v>26</v>
      </c>
      <c r="C19" s="19" t="s">
        <v>27</v>
      </c>
      <c r="D19" s="19" t="s">
        <v>180</v>
      </c>
      <c r="E19" s="62" t="s">
        <v>186</v>
      </c>
      <c r="F19" s="20">
        <v>4</v>
      </c>
      <c r="G19" s="20">
        <v>2</v>
      </c>
      <c r="H19" s="20">
        <v>1.5</v>
      </c>
      <c r="I19" s="63">
        <v>43901</v>
      </c>
      <c r="J19" s="64"/>
    </row>
    <row r="20" spans="2:10" ht="14.25" customHeight="1">
      <c r="B20" s="110" t="s">
        <v>6</v>
      </c>
      <c r="C20" s="111" t="s">
        <v>7</v>
      </c>
      <c r="D20" s="95"/>
      <c r="E20" s="95"/>
      <c r="F20" s="95"/>
      <c r="G20" s="95"/>
      <c r="H20" s="87">
        <v>3</v>
      </c>
      <c r="I20" s="112">
        <v>45869</v>
      </c>
      <c r="J20" s="95"/>
    </row>
    <row r="21" spans="2:10" ht="21.75" customHeight="1">
      <c r="B21" s="221" t="s">
        <v>394</v>
      </c>
      <c r="C21" s="221"/>
      <c r="D21" s="221"/>
      <c r="E21" s="221"/>
      <c r="F21" s="221"/>
      <c r="G21" s="221"/>
      <c r="H21" s="221"/>
      <c r="I21" s="221"/>
      <c r="J21" s="221"/>
    </row>
    <row r="22" spans="2:10" ht="24" customHeight="1">
      <c r="B22" s="133" t="s">
        <v>208</v>
      </c>
      <c r="C22" s="133" t="s">
        <v>18</v>
      </c>
      <c r="D22" s="133" t="s">
        <v>180</v>
      </c>
      <c r="E22" s="133" t="s">
        <v>215</v>
      </c>
      <c r="F22" s="133">
        <f>16.5+16.5</f>
        <v>33</v>
      </c>
      <c r="G22" s="133">
        <v>2</v>
      </c>
      <c r="H22" s="133">
        <f>17+17</f>
        <v>34</v>
      </c>
      <c r="I22" s="133">
        <v>2022</v>
      </c>
      <c r="J22" s="133"/>
    </row>
    <row r="23" spans="2:10" ht="24" customHeight="1">
      <c r="B23" s="132" t="s">
        <v>252</v>
      </c>
      <c r="C23" s="132" t="s">
        <v>342</v>
      </c>
      <c r="D23" s="132" t="s">
        <v>180</v>
      </c>
      <c r="E23" s="132" t="s">
        <v>253</v>
      </c>
      <c r="F23" s="132">
        <f>15+15+50</f>
        <v>80</v>
      </c>
      <c r="G23" s="132" t="s">
        <v>414</v>
      </c>
      <c r="H23" s="132">
        <f>8+4+4</f>
        <v>16</v>
      </c>
      <c r="I23" s="132">
        <v>2021</v>
      </c>
      <c r="J23" s="132"/>
    </row>
    <row r="24" spans="2:10" ht="24" customHeight="1">
      <c r="B24" s="133" t="s">
        <v>343</v>
      </c>
      <c r="C24" s="133" t="s">
        <v>18</v>
      </c>
      <c r="D24" s="133" t="s">
        <v>180</v>
      </c>
      <c r="E24" s="133" t="s">
        <v>283</v>
      </c>
      <c r="F24" s="133">
        <f>0.55*2+1.5*2</f>
        <v>4.0999999999999996</v>
      </c>
      <c r="G24" s="133">
        <v>4</v>
      </c>
      <c r="H24" s="133">
        <f>1.61*2+2.77*2</f>
        <v>8.76</v>
      </c>
      <c r="I24" s="133">
        <v>2009</v>
      </c>
      <c r="J24" s="133"/>
    </row>
    <row r="25" spans="2:10" ht="24" customHeight="1">
      <c r="B25" s="219" t="s">
        <v>344</v>
      </c>
      <c r="C25" s="133" t="s">
        <v>342</v>
      </c>
      <c r="D25" s="133" t="s">
        <v>180</v>
      </c>
      <c r="E25" s="133" t="s">
        <v>415</v>
      </c>
      <c r="F25" s="133">
        <v>7.5</v>
      </c>
      <c r="G25" s="133">
        <v>2</v>
      </c>
      <c r="H25" s="133">
        <v>7</v>
      </c>
      <c r="I25" s="134">
        <v>41456</v>
      </c>
      <c r="J25" s="133"/>
    </row>
    <row r="26" spans="2:10" ht="24" customHeight="1">
      <c r="B26" s="222"/>
      <c r="C26" s="133" t="s">
        <v>345</v>
      </c>
      <c r="D26" s="133" t="s">
        <v>180</v>
      </c>
      <c r="E26" s="133" t="s">
        <v>416</v>
      </c>
      <c r="F26" s="133">
        <v>7.5</v>
      </c>
      <c r="G26" s="133">
        <v>2</v>
      </c>
      <c r="H26" s="133">
        <v>7</v>
      </c>
      <c r="I26" s="134">
        <v>41456</v>
      </c>
      <c r="J26" s="133"/>
    </row>
    <row r="27" spans="2:10" ht="24" customHeight="1">
      <c r="B27" s="220"/>
      <c r="C27" s="133" t="s">
        <v>14</v>
      </c>
      <c r="D27" s="133" t="s">
        <v>180</v>
      </c>
      <c r="E27" s="133" t="s">
        <v>310</v>
      </c>
      <c r="F27" s="133">
        <v>7.5</v>
      </c>
      <c r="G27" s="133">
        <v>2</v>
      </c>
      <c r="H27" s="133">
        <v>3</v>
      </c>
      <c r="I27" s="134">
        <v>43191</v>
      </c>
      <c r="J27" s="133"/>
    </row>
    <row r="28" spans="2:10" ht="24" customHeight="1">
      <c r="B28" s="219" t="s">
        <v>300</v>
      </c>
      <c r="C28" s="133" t="s">
        <v>346</v>
      </c>
      <c r="D28" s="133" t="s">
        <v>180</v>
      </c>
      <c r="E28" s="133" t="s">
        <v>307</v>
      </c>
      <c r="F28" s="133">
        <v>20</v>
      </c>
      <c r="G28" s="133">
        <v>2</v>
      </c>
      <c r="H28" s="133">
        <v>13.5</v>
      </c>
      <c r="I28" s="133">
        <v>2001</v>
      </c>
      <c r="J28" s="133"/>
    </row>
    <row r="29" spans="2:10" ht="24" customHeight="1">
      <c r="B29" s="220"/>
      <c r="C29" s="133" t="s">
        <v>342</v>
      </c>
      <c r="D29" s="133" t="s">
        <v>180</v>
      </c>
      <c r="E29" s="133" t="s">
        <v>302</v>
      </c>
      <c r="F29" s="133">
        <v>13</v>
      </c>
      <c r="G29" s="133">
        <v>2</v>
      </c>
      <c r="H29" s="133">
        <v>5.0999999999999996</v>
      </c>
      <c r="I29" s="133">
        <v>2001</v>
      </c>
      <c r="J29" s="133"/>
    </row>
    <row r="30" spans="2:10" ht="32.25" customHeight="1">
      <c r="B30" s="219" t="s">
        <v>347</v>
      </c>
      <c r="C30" s="133" t="s">
        <v>342</v>
      </c>
      <c r="D30" s="133" t="s">
        <v>180</v>
      </c>
      <c r="E30" s="133" t="s">
        <v>326</v>
      </c>
      <c r="F30" s="133">
        <f>10+10</f>
        <v>20</v>
      </c>
      <c r="G30" s="133" t="s">
        <v>446</v>
      </c>
      <c r="H30" s="133">
        <v>3</v>
      </c>
      <c r="I30" s="133">
        <v>2020</v>
      </c>
      <c r="J30" s="133"/>
    </row>
    <row r="31" spans="2:10" ht="37.5" customHeight="1">
      <c r="B31" s="220"/>
      <c r="C31" s="133" t="s">
        <v>346</v>
      </c>
      <c r="D31" s="133" t="s">
        <v>180</v>
      </c>
      <c r="E31" s="133" t="s">
        <v>329</v>
      </c>
      <c r="F31" s="133">
        <f>30+30</f>
        <v>60</v>
      </c>
      <c r="G31" s="133" t="s">
        <v>446</v>
      </c>
      <c r="H31" s="133" t="s">
        <v>445</v>
      </c>
      <c r="I31" s="133">
        <v>2002</v>
      </c>
      <c r="J31" s="133"/>
    </row>
    <row r="32" spans="2:10" ht="24" customHeight="1">
      <c r="B32" s="219" t="s">
        <v>262</v>
      </c>
      <c r="C32" s="133" t="s">
        <v>348</v>
      </c>
      <c r="D32" s="133" t="s">
        <v>180</v>
      </c>
      <c r="E32" s="133" t="s">
        <v>417</v>
      </c>
      <c r="F32" s="133">
        <v>6</v>
      </c>
      <c r="G32" s="133">
        <v>2</v>
      </c>
      <c r="H32" s="133">
        <f>1.38+3.88</f>
        <v>5.26</v>
      </c>
      <c r="I32" s="133">
        <v>2021</v>
      </c>
      <c r="J32" s="133"/>
    </row>
    <row r="33" spans="2:10" ht="24" customHeight="1">
      <c r="B33" s="222"/>
      <c r="C33" s="133" t="s">
        <v>349</v>
      </c>
      <c r="D33" s="133" t="s">
        <v>180</v>
      </c>
      <c r="E33" s="133" t="s">
        <v>418</v>
      </c>
      <c r="F33" s="133">
        <v>6</v>
      </c>
      <c r="G33" s="133">
        <v>2</v>
      </c>
      <c r="H33" s="133">
        <f>0.67+2.36</f>
        <v>3.03</v>
      </c>
      <c r="I33" s="133">
        <v>2021</v>
      </c>
      <c r="J33" s="133"/>
    </row>
    <row r="34" spans="2:10" ht="24" customHeight="1">
      <c r="B34" s="220"/>
      <c r="C34" s="133" t="s">
        <v>350</v>
      </c>
      <c r="D34" s="133" t="s">
        <v>180</v>
      </c>
      <c r="E34" s="133" t="s">
        <v>419</v>
      </c>
      <c r="F34" s="133">
        <f>37*2</f>
        <v>74</v>
      </c>
      <c r="G34" s="133">
        <v>2</v>
      </c>
      <c r="H34" s="133">
        <v>11</v>
      </c>
      <c r="I34" s="133">
        <v>2021</v>
      </c>
      <c r="J34" s="133"/>
    </row>
    <row r="35" spans="2:10" ht="24" customHeight="1">
      <c r="B35" s="133" t="s">
        <v>298</v>
      </c>
      <c r="C35" s="133" t="s">
        <v>351</v>
      </c>
      <c r="D35" s="133" t="s">
        <v>180</v>
      </c>
      <c r="E35" s="133" t="s">
        <v>299</v>
      </c>
      <c r="F35" s="133">
        <f>1.5*2</f>
        <v>3</v>
      </c>
      <c r="G35" s="133">
        <v>2</v>
      </c>
      <c r="H35" s="133">
        <v>4</v>
      </c>
      <c r="I35" s="133">
        <v>2018</v>
      </c>
      <c r="J35" s="133"/>
    </row>
    <row r="36" spans="2:10" ht="24" customHeight="1">
      <c r="B36" s="219" t="s">
        <v>258</v>
      </c>
      <c r="C36" s="133" t="s">
        <v>352</v>
      </c>
      <c r="D36" s="133" t="s">
        <v>420</v>
      </c>
      <c r="E36" s="133" t="s">
        <v>261</v>
      </c>
      <c r="F36" s="133">
        <v>4</v>
      </c>
      <c r="G36" s="133">
        <v>1</v>
      </c>
      <c r="H36" s="133" t="s">
        <v>440</v>
      </c>
      <c r="I36" s="133">
        <v>2018</v>
      </c>
      <c r="J36" s="133"/>
    </row>
    <row r="37" spans="2:10" ht="24" customHeight="1">
      <c r="B37" s="220"/>
      <c r="C37" s="133" t="s">
        <v>345</v>
      </c>
      <c r="D37" s="133" t="s">
        <v>180</v>
      </c>
      <c r="E37" s="133" t="s">
        <v>421</v>
      </c>
      <c r="F37" s="133" t="s">
        <v>422</v>
      </c>
      <c r="G37" s="133">
        <v>4</v>
      </c>
      <c r="H37" s="133" t="s">
        <v>366</v>
      </c>
      <c r="I37" s="133"/>
      <c r="J37" s="133"/>
    </row>
    <row r="38" spans="2:10" ht="24" customHeight="1">
      <c r="B38" s="219" t="s">
        <v>271</v>
      </c>
      <c r="C38" s="133" t="s">
        <v>353</v>
      </c>
      <c r="D38" s="133" t="s">
        <v>180</v>
      </c>
      <c r="E38" s="133" t="s">
        <v>423</v>
      </c>
      <c r="F38" s="133" t="s">
        <v>424</v>
      </c>
      <c r="G38" s="133">
        <v>4</v>
      </c>
      <c r="H38" s="133" t="s">
        <v>367</v>
      </c>
      <c r="I38" s="133"/>
      <c r="J38" s="133"/>
    </row>
    <row r="39" spans="2:10" ht="24" customHeight="1">
      <c r="B39" s="220"/>
      <c r="C39" s="133" t="s">
        <v>354</v>
      </c>
      <c r="D39" s="133" t="s">
        <v>180</v>
      </c>
      <c r="E39" s="133"/>
      <c r="F39" s="133" t="s">
        <v>425</v>
      </c>
      <c r="G39" s="133">
        <v>2</v>
      </c>
      <c r="H39" s="133">
        <v>3</v>
      </c>
      <c r="I39" s="133">
        <v>2023</v>
      </c>
      <c r="J39" s="133"/>
    </row>
    <row r="40" spans="2:10" ht="24" customHeight="1">
      <c r="B40" s="219" t="s">
        <v>288</v>
      </c>
      <c r="C40" s="133" t="s">
        <v>346</v>
      </c>
      <c r="D40" s="133" t="s">
        <v>180</v>
      </c>
      <c r="E40" s="133" t="s">
        <v>293</v>
      </c>
      <c r="F40" s="133">
        <v>11</v>
      </c>
      <c r="G40" s="133">
        <v>2</v>
      </c>
      <c r="H40" s="133">
        <v>11.66</v>
      </c>
      <c r="I40" s="133"/>
      <c r="J40" s="133"/>
    </row>
    <row r="41" spans="2:10" ht="24" customHeight="1">
      <c r="B41" s="220"/>
      <c r="C41" s="133" t="s">
        <v>342</v>
      </c>
      <c r="D41" s="133" t="s">
        <v>180</v>
      </c>
      <c r="E41" s="133" t="s">
        <v>290</v>
      </c>
      <c r="F41" s="133">
        <v>15.5</v>
      </c>
      <c r="G41" s="133">
        <v>2</v>
      </c>
      <c r="H41" s="133">
        <v>8.32</v>
      </c>
      <c r="I41" s="133"/>
      <c r="J41" s="133"/>
    </row>
    <row r="42" spans="2:10" ht="24" customHeight="1">
      <c r="B42" s="219" t="s">
        <v>355</v>
      </c>
      <c r="C42" s="133" t="s">
        <v>356</v>
      </c>
      <c r="D42" s="133" t="s">
        <v>180</v>
      </c>
      <c r="E42" s="133" t="s">
        <v>337</v>
      </c>
      <c r="F42" s="133">
        <v>15</v>
      </c>
      <c r="G42" s="133">
        <v>2</v>
      </c>
      <c r="H42" s="133"/>
      <c r="I42" s="133">
        <v>2019</v>
      </c>
      <c r="J42" s="133"/>
    </row>
    <row r="43" spans="2:10" ht="24" customHeight="1">
      <c r="B43" s="220"/>
      <c r="C43" s="133" t="s">
        <v>357</v>
      </c>
      <c r="D43" s="133" t="s">
        <v>180</v>
      </c>
      <c r="E43" s="133" t="s">
        <v>338</v>
      </c>
      <c r="F43" s="133">
        <v>6</v>
      </c>
      <c r="G43" s="133">
        <v>2</v>
      </c>
      <c r="H43" s="133"/>
      <c r="I43" s="133">
        <v>2019</v>
      </c>
      <c r="J43" s="133"/>
    </row>
    <row r="44" spans="2:10" ht="24" customHeight="1">
      <c r="B44" s="133" t="s">
        <v>358</v>
      </c>
      <c r="C44" s="133" t="s">
        <v>18</v>
      </c>
      <c r="D44" s="133" t="s">
        <v>180</v>
      </c>
      <c r="E44" s="133" t="s">
        <v>233</v>
      </c>
      <c r="F44" s="133">
        <v>62</v>
      </c>
      <c r="G44" s="133">
        <v>2</v>
      </c>
      <c r="H44" s="133">
        <v>5</v>
      </c>
      <c r="I44" s="133">
        <v>2011</v>
      </c>
      <c r="J44" s="133"/>
    </row>
    <row r="45" spans="2:10" ht="24" customHeight="1">
      <c r="B45" s="133" t="s">
        <v>247</v>
      </c>
      <c r="C45" s="133" t="s">
        <v>359</v>
      </c>
      <c r="D45" s="133" t="s">
        <v>426</v>
      </c>
      <c r="E45" s="133" t="s">
        <v>427</v>
      </c>
      <c r="F45" s="133">
        <v>2</v>
      </c>
      <c r="G45" s="133">
        <v>2</v>
      </c>
      <c r="H45" s="133">
        <v>3.65</v>
      </c>
      <c r="I45" s="133">
        <v>2024</v>
      </c>
      <c r="J45" s="133"/>
    </row>
    <row r="46" spans="2:10" ht="24" customHeight="1">
      <c r="B46" s="219" t="s">
        <v>360</v>
      </c>
      <c r="C46" s="133" t="s">
        <v>359</v>
      </c>
      <c r="D46" s="133" t="s">
        <v>426</v>
      </c>
      <c r="E46" s="133"/>
      <c r="F46" s="133">
        <v>2.2000000000000002</v>
      </c>
      <c r="G46" s="133">
        <v>1</v>
      </c>
      <c r="H46" s="133">
        <v>3.65</v>
      </c>
      <c r="I46" s="133">
        <v>2014</v>
      </c>
      <c r="J46" s="133"/>
    </row>
    <row r="47" spans="2:10" ht="30" customHeight="1">
      <c r="B47" s="220"/>
      <c r="C47" s="133" t="s">
        <v>361</v>
      </c>
      <c r="D47" s="133" t="s">
        <v>426</v>
      </c>
      <c r="E47" s="133"/>
      <c r="F47" s="133">
        <f>7.5+7.5</f>
        <v>15</v>
      </c>
      <c r="G47" s="133">
        <v>3</v>
      </c>
      <c r="H47" s="133"/>
      <c r="I47" s="133"/>
      <c r="J47" s="133"/>
    </row>
    <row r="48" spans="2:10" ht="24" customHeight="1">
      <c r="B48" s="133" t="s">
        <v>362</v>
      </c>
      <c r="C48" s="133" t="s">
        <v>359</v>
      </c>
      <c r="D48" s="133" t="s">
        <v>426</v>
      </c>
      <c r="E48" s="133" t="s">
        <v>428</v>
      </c>
      <c r="F48" s="133"/>
      <c r="G48" s="133">
        <v>2</v>
      </c>
      <c r="H48" s="133">
        <v>3</v>
      </c>
      <c r="I48" s="133">
        <v>2008</v>
      </c>
      <c r="J48" s="133"/>
    </row>
    <row r="49" spans="2:10" ht="24" customHeight="1">
      <c r="B49" s="133" t="s">
        <v>362</v>
      </c>
      <c r="C49" s="133" t="s">
        <v>359</v>
      </c>
      <c r="D49" s="133" t="s">
        <v>426</v>
      </c>
      <c r="E49" s="133" t="s">
        <v>429</v>
      </c>
      <c r="F49" s="133"/>
      <c r="G49" s="133">
        <v>2</v>
      </c>
      <c r="H49" s="133">
        <v>4</v>
      </c>
      <c r="I49" s="133">
        <v>2019</v>
      </c>
      <c r="J49" s="133"/>
    </row>
    <row r="50" spans="2:10" ht="24" customHeight="1">
      <c r="B50" s="133" t="s">
        <v>236</v>
      </c>
      <c r="C50" s="133" t="s">
        <v>363</v>
      </c>
      <c r="D50" s="133" t="s">
        <v>180</v>
      </c>
      <c r="E50" s="133" t="s">
        <v>237</v>
      </c>
      <c r="F50" s="133">
        <v>22</v>
      </c>
      <c r="G50" s="133">
        <v>2</v>
      </c>
      <c r="H50" s="133">
        <v>9.4</v>
      </c>
      <c r="I50" s="133">
        <v>2012</v>
      </c>
      <c r="J50" s="133"/>
    </row>
    <row r="51" spans="2:10" ht="24" customHeight="1">
      <c r="B51" s="133" t="s">
        <v>236</v>
      </c>
      <c r="C51" s="133" t="s">
        <v>364</v>
      </c>
      <c r="D51" s="133" t="s">
        <v>180</v>
      </c>
      <c r="E51" s="133" t="s">
        <v>238</v>
      </c>
      <c r="F51" s="133">
        <v>15</v>
      </c>
      <c r="G51" s="133">
        <v>2</v>
      </c>
      <c r="H51" s="133">
        <v>5.6</v>
      </c>
      <c r="I51" s="133">
        <v>2012</v>
      </c>
      <c r="J51" s="133"/>
    </row>
    <row r="52" spans="2:10" ht="14.25" customHeight="1"/>
    <row r="53" spans="2:10" ht="14.25" customHeight="1"/>
    <row r="54" spans="2:10" ht="14.25" customHeight="1"/>
    <row r="55" spans="2:10" ht="14.25" customHeight="1"/>
    <row r="56" spans="2:10" ht="14.25" customHeight="1"/>
    <row r="57" spans="2:10" ht="14.25" customHeight="1"/>
    <row r="58" spans="2:10" ht="14.25" customHeight="1"/>
    <row r="59" spans="2:10" ht="14.25" customHeight="1"/>
    <row r="60" spans="2:10" ht="14.25" customHeight="1"/>
    <row r="61" spans="2:10" ht="14.25" customHeight="1"/>
    <row r="62" spans="2:10" ht="14.25" customHeight="1"/>
    <row r="63" spans="2:10" ht="14.25" customHeight="1"/>
    <row r="64" spans="2:10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8">
    <mergeCell ref="I7:I8"/>
    <mergeCell ref="J7:J8"/>
    <mergeCell ref="C7:C8"/>
    <mergeCell ref="D7:D8"/>
    <mergeCell ref="B7:B8"/>
    <mergeCell ref="E7:E8"/>
    <mergeCell ref="G7:G8"/>
    <mergeCell ref="H7:H8"/>
    <mergeCell ref="B21:J21"/>
    <mergeCell ref="B25:B27"/>
    <mergeCell ref="B28:B29"/>
    <mergeCell ref="B30:B31"/>
    <mergeCell ref="B32:B34"/>
    <mergeCell ref="B36:B37"/>
    <mergeCell ref="B38:B39"/>
    <mergeCell ref="B40:B41"/>
    <mergeCell ref="B42:B43"/>
    <mergeCell ref="B46:B47"/>
  </mergeCells>
  <dataValidations count="3">
    <dataValidation type="list" allowBlank="1" showErrorMessage="1" sqref="C9">
      <formula1>"Production,Distribution"</formula1>
    </dataValidation>
    <dataValidation type="list" allowBlank="1" showErrorMessage="1" sqref="D9:D19">
      <formula1>"Station de pompage,Station de reprise,Station de relevage"</formula1>
    </dataValidation>
    <dataValidation type="list" allowBlank="1" showInputMessage="1" showErrorMessage="1" sqref="D31:D35 D22:D29 D37:D43 D50:D51">
      <formula1>"Station de pompage,Station de reprise,Station de relevage,"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699"/>
  <sheetViews>
    <sheetView topLeftCell="A88" workbookViewId="0">
      <selection activeCell="K101" sqref="K101"/>
    </sheetView>
  </sheetViews>
  <sheetFormatPr baseColWidth="10" defaultColWidth="14.42578125" defaultRowHeight="15" customHeight="1"/>
  <cols>
    <col min="1" max="1" width="10.7109375" customWidth="1"/>
    <col min="2" max="2" width="20.42578125" customWidth="1"/>
    <col min="3" max="3" width="12.7109375" customWidth="1"/>
    <col min="4" max="4" width="8.42578125" customWidth="1"/>
    <col min="5" max="7" width="12.7109375" customWidth="1"/>
    <col min="8" max="8" width="20.28515625" customWidth="1"/>
    <col min="9" max="11" width="10.7109375" customWidth="1"/>
  </cols>
  <sheetData>
    <row r="1" spans="1:11" ht="14.25" customHeight="1">
      <c r="A1" s="43" t="s">
        <v>97</v>
      </c>
    </row>
    <row r="2" spans="1:11" ht="14.25" customHeight="1">
      <c r="A2" s="43" t="s">
        <v>98</v>
      </c>
    </row>
    <row r="3" spans="1:11" ht="14.25" customHeight="1">
      <c r="A3" s="45" t="s">
        <v>174</v>
      </c>
      <c r="B3" s="44"/>
      <c r="C3" s="44"/>
      <c r="D3" s="44"/>
      <c r="E3" s="44"/>
      <c r="F3" s="44"/>
      <c r="G3" s="44"/>
      <c r="H3" s="44"/>
      <c r="I3" s="44"/>
      <c r="J3" s="44"/>
      <c r="K3" s="44"/>
    </row>
    <row r="4" spans="1:11" ht="14.25" customHeight="1">
      <c r="A4" s="45"/>
    </row>
    <row r="5" spans="1:11" ht="14.25" customHeight="1">
      <c r="A5" s="45"/>
      <c r="B5" s="246" t="s">
        <v>187</v>
      </c>
      <c r="C5" s="218"/>
      <c r="D5" s="218"/>
      <c r="E5" s="218"/>
      <c r="F5" s="218"/>
      <c r="G5" s="218"/>
      <c r="H5" s="218"/>
    </row>
    <row r="6" spans="1:11" ht="14.25" customHeight="1">
      <c r="A6" s="65"/>
    </row>
    <row r="7" spans="1:11" ht="14.25" customHeight="1">
      <c r="A7" s="65"/>
      <c r="B7" s="47" t="s">
        <v>188</v>
      </c>
      <c r="C7" s="66" t="s">
        <v>189</v>
      </c>
      <c r="D7" s="47" t="s">
        <v>190</v>
      </c>
      <c r="E7" s="47" t="s">
        <v>191</v>
      </c>
      <c r="F7" s="47" t="s">
        <v>192</v>
      </c>
      <c r="G7" s="47" t="s">
        <v>193</v>
      </c>
      <c r="H7" s="47" t="s">
        <v>107</v>
      </c>
    </row>
    <row r="8" spans="1:11" ht="23.25" customHeight="1">
      <c r="A8" s="65"/>
      <c r="B8" s="245" t="s">
        <v>34</v>
      </c>
      <c r="C8" s="67">
        <v>450</v>
      </c>
      <c r="D8" s="67" t="s">
        <v>194</v>
      </c>
      <c r="E8" s="67">
        <v>265</v>
      </c>
      <c r="F8" s="67" t="s">
        <v>195</v>
      </c>
      <c r="G8" s="67" t="s">
        <v>196</v>
      </c>
      <c r="H8" s="68"/>
    </row>
    <row r="9" spans="1:11" ht="14.25" customHeight="1">
      <c r="B9" s="175"/>
      <c r="C9" s="67">
        <v>400</v>
      </c>
      <c r="D9" s="67" t="s">
        <v>197</v>
      </c>
      <c r="E9" s="69">
        <v>3551.37</v>
      </c>
      <c r="F9" s="68" t="s">
        <v>195</v>
      </c>
      <c r="G9" s="67" t="s">
        <v>198</v>
      </c>
      <c r="H9" s="67"/>
    </row>
    <row r="10" spans="1:11" ht="14.25" customHeight="1">
      <c r="B10" s="175"/>
      <c r="C10" s="67">
        <v>315</v>
      </c>
      <c r="D10" s="67" t="s">
        <v>197</v>
      </c>
      <c r="E10" s="69">
        <v>1724.57</v>
      </c>
      <c r="F10" s="68" t="s">
        <v>195</v>
      </c>
      <c r="G10" s="67" t="s">
        <v>198</v>
      </c>
      <c r="H10" s="67"/>
    </row>
    <row r="11" spans="1:11" ht="14.25" customHeight="1">
      <c r="B11" s="175"/>
      <c r="C11" s="67">
        <v>300</v>
      </c>
      <c r="D11" s="67" t="s">
        <v>194</v>
      </c>
      <c r="E11" s="69">
        <v>6602</v>
      </c>
      <c r="F11" s="68" t="s">
        <v>195</v>
      </c>
      <c r="G11" s="67" t="s">
        <v>196</v>
      </c>
      <c r="H11" s="67"/>
    </row>
    <row r="12" spans="1:11" ht="14.25" customHeight="1">
      <c r="B12" s="175"/>
      <c r="C12" s="67">
        <v>300</v>
      </c>
      <c r="D12" s="67" t="s">
        <v>199</v>
      </c>
      <c r="E12" s="69">
        <v>46.7</v>
      </c>
      <c r="F12" s="68" t="s">
        <v>195</v>
      </c>
      <c r="G12" s="67" t="s">
        <v>196</v>
      </c>
      <c r="H12" s="67"/>
    </row>
    <row r="13" spans="1:11" ht="14.25" customHeight="1">
      <c r="B13" s="175"/>
      <c r="C13" s="67">
        <v>250</v>
      </c>
      <c r="D13" s="67" t="s">
        <v>194</v>
      </c>
      <c r="E13" s="69">
        <v>2842</v>
      </c>
      <c r="F13" s="68" t="s">
        <v>195</v>
      </c>
      <c r="G13" s="67" t="s">
        <v>196</v>
      </c>
      <c r="H13" s="67"/>
    </row>
    <row r="14" spans="1:11" ht="14.25" customHeight="1">
      <c r="B14" s="175"/>
      <c r="C14" s="67">
        <v>250</v>
      </c>
      <c r="D14" s="67" t="s">
        <v>199</v>
      </c>
      <c r="E14" s="69">
        <v>132</v>
      </c>
      <c r="F14" s="68" t="s">
        <v>195</v>
      </c>
      <c r="G14" s="67" t="s">
        <v>196</v>
      </c>
      <c r="H14" s="67"/>
    </row>
    <row r="15" spans="1:11" ht="14.25" customHeight="1">
      <c r="B15" s="175"/>
      <c r="C15" s="67">
        <v>250</v>
      </c>
      <c r="D15" s="67" t="s">
        <v>197</v>
      </c>
      <c r="E15" s="69">
        <v>6468</v>
      </c>
      <c r="F15" s="68" t="s">
        <v>195</v>
      </c>
      <c r="G15" s="67" t="s">
        <v>198</v>
      </c>
      <c r="H15" s="67"/>
    </row>
    <row r="16" spans="1:11" ht="14.25" customHeight="1">
      <c r="B16" s="175"/>
      <c r="C16" s="67">
        <v>200</v>
      </c>
      <c r="D16" s="67" t="s">
        <v>194</v>
      </c>
      <c r="E16" s="69">
        <v>5579</v>
      </c>
      <c r="F16" s="68" t="s">
        <v>195</v>
      </c>
      <c r="G16" s="67" t="s">
        <v>196</v>
      </c>
      <c r="H16" s="67"/>
    </row>
    <row r="17" spans="2:8" ht="14.25" customHeight="1">
      <c r="B17" s="175"/>
      <c r="C17" s="67">
        <v>200</v>
      </c>
      <c r="D17" s="67" t="s">
        <v>199</v>
      </c>
      <c r="E17" s="69">
        <v>10.1</v>
      </c>
      <c r="F17" s="68" t="s">
        <v>195</v>
      </c>
      <c r="G17" s="67" t="s">
        <v>196</v>
      </c>
      <c r="H17" s="67"/>
    </row>
    <row r="18" spans="2:8" ht="14.25" customHeight="1">
      <c r="B18" s="175"/>
      <c r="C18" s="67">
        <v>200</v>
      </c>
      <c r="D18" s="67" t="s">
        <v>197</v>
      </c>
      <c r="E18" s="69">
        <v>3740.81</v>
      </c>
      <c r="F18" s="68" t="s">
        <v>195</v>
      </c>
      <c r="G18" s="67" t="s">
        <v>198</v>
      </c>
      <c r="H18" s="67"/>
    </row>
    <row r="19" spans="2:8" ht="14.25" customHeight="1">
      <c r="B19" s="175"/>
      <c r="C19" s="67">
        <v>160</v>
      </c>
      <c r="D19" s="67" t="s">
        <v>197</v>
      </c>
      <c r="E19" s="69">
        <v>14022.78</v>
      </c>
      <c r="F19" s="68" t="s">
        <v>195</v>
      </c>
      <c r="G19" s="67" t="s">
        <v>198</v>
      </c>
      <c r="H19" s="67"/>
    </row>
    <row r="20" spans="2:8" ht="14.25" customHeight="1">
      <c r="B20" s="175"/>
      <c r="C20" s="67">
        <v>150</v>
      </c>
      <c r="D20" s="67" t="s">
        <v>194</v>
      </c>
      <c r="E20" s="69">
        <v>12394</v>
      </c>
      <c r="F20" s="68" t="s">
        <v>195</v>
      </c>
      <c r="G20" s="67" t="s">
        <v>196</v>
      </c>
      <c r="H20" s="67"/>
    </row>
    <row r="21" spans="2:8" ht="14.25" customHeight="1">
      <c r="B21" s="175"/>
      <c r="C21" s="67">
        <v>150</v>
      </c>
      <c r="D21" s="67" t="s">
        <v>199</v>
      </c>
      <c r="E21" s="69">
        <v>54.5</v>
      </c>
      <c r="F21" s="68" t="s">
        <v>195</v>
      </c>
      <c r="G21" s="67" t="s">
        <v>196</v>
      </c>
      <c r="H21" s="67"/>
    </row>
    <row r="22" spans="2:8" ht="14.25" customHeight="1">
      <c r="B22" s="175"/>
      <c r="C22" s="67">
        <v>140</v>
      </c>
      <c r="D22" s="67" t="s">
        <v>197</v>
      </c>
      <c r="E22" s="69">
        <v>163</v>
      </c>
      <c r="F22" s="68" t="s">
        <v>195</v>
      </c>
      <c r="G22" s="67" t="s">
        <v>198</v>
      </c>
      <c r="H22" s="67"/>
    </row>
    <row r="23" spans="2:8" ht="14.25" customHeight="1">
      <c r="B23" s="175"/>
      <c r="C23" s="67">
        <v>125</v>
      </c>
      <c r="D23" s="67" t="s">
        <v>197</v>
      </c>
      <c r="E23" s="69">
        <v>6018</v>
      </c>
      <c r="F23" s="68" t="s">
        <v>195</v>
      </c>
      <c r="G23" s="67" t="s">
        <v>198</v>
      </c>
      <c r="H23" s="67"/>
    </row>
    <row r="24" spans="2:8" ht="14.25" customHeight="1">
      <c r="B24" s="175"/>
      <c r="C24" s="67">
        <v>110</v>
      </c>
      <c r="D24" s="67" t="s">
        <v>197</v>
      </c>
      <c r="E24" s="69">
        <v>19735.400000000001</v>
      </c>
      <c r="F24" s="68" t="s">
        <v>195</v>
      </c>
      <c r="G24" s="67" t="s">
        <v>198</v>
      </c>
      <c r="H24" s="67"/>
    </row>
    <row r="25" spans="2:8" ht="14.25" customHeight="1">
      <c r="B25" s="175"/>
      <c r="C25" s="67">
        <v>100</v>
      </c>
      <c r="D25" s="67" t="s">
        <v>194</v>
      </c>
      <c r="E25" s="69">
        <v>21753</v>
      </c>
      <c r="F25" s="68" t="s">
        <v>195</v>
      </c>
      <c r="G25" s="67" t="s">
        <v>196</v>
      </c>
      <c r="H25" s="67"/>
    </row>
    <row r="26" spans="2:8" ht="14.25" customHeight="1">
      <c r="B26" s="172"/>
      <c r="C26" s="67">
        <v>100</v>
      </c>
      <c r="D26" s="67" t="s">
        <v>199</v>
      </c>
      <c r="E26" s="69">
        <v>53</v>
      </c>
      <c r="F26" s="68" t="s">
        <v>195</v>
      </c>
      <c r="G26" s="67" t="s">
        <v>196</v>
      </c>
      <c r="H26" s="67"/>
    </row>
    <row r="27" spans="2:8" ht="14.25" customHeight="1">
      <c r="B27" s="247" t="s">
        <v>38</v>
      </c>
      <c r="C27" s="67">
        <v>315</v>
      </c>
      <c r="D27" s="67" t="s">
        <v>197</v>
      </c>
      <c r="E27" s="69">
        <v>873</v>
      </c>
      <c r="F27" s="68" t="s">
        <v>195</v>
      </c>
      <c r="G27" s="67" t="s">
        <v>198</v>
      </c>
      <c r="H27" s="67"/>
    </row>
    <row r="28" spans="2:8" ht="14.25" customHeight="1">
      <c r="B28" s="175"/>
      <c r="C28" s="67">
        <v>300</v>
      </c>
      <c r="D28" s="67" t="s">
        <v>194</v>
      </c>
      <c r="E28" s="70">
        <v>942.57</v>
      </c>
      <c r="F28" s="68" t="s">
        <v>195</v>
      </c>
      <c r="G28" s="67" t="s">
        <v>196</v>
      </c>
      <c r="H28" s="67"/>
    </row>
    <row r="29" spans="2:8" ht="14.25" customHeight="1">
      <c r="B29" s="175"/>
      <c r="C29" s="67">
        <v>250</v>
      </c>
      <c r="D29" s="67" t="s">
        <v>194</v>
      </c>
      <c r="E29" s="70">
        <v>4818.34</v>
      </c>
      <c r="F29" s="68" t="s">
        <v>195</v>
      </c>
      <c r="G29" s="67" t="s">
        <v>196</v>
      </c>
      <c r="H29" s="67"/>
    </row>
    <row r="30" spans="2:8" ht="14.25" customHeight="1">
      <c r="B30" s="175"/>
      <c r="C30" s="67">
        <v>250</v>
      </c>
      <c r="D30" s="67" t="s">
        <v>199</v>
      </c>
      <c r="E30" s="70">
        <v>35</v>
      </c>
      <c r="F30" s="68" t="s">
        <v>195</v>
      </c>
      <c r="G30" s="67" t="s">
        <v>196</v>
      </c>
      <c r="H30" s="67"/>
    </row>
    <row r="31" spans="2:8" ht="14.25" customHeight="1">
      <c r="B31" s="175"/>
      <c r="C31" s="67">
        <v>200</v>
      </c>
      <c r="D31" s="67" t="s">
        <v>194</v>
      </c>
      <c r="E31" s="70">
        <v>444.41</v>
      </c>
      <c r="F31" s="68" t="s">
        <v>195</v>
      </c>
      <c r="G31" s="67" t="s">
        <v>196</v>
      </c>
      <c r="H31" s="67"/>
    </row>
    <row r="32" spans="2:8" ht="14.25" customHeight="1">
      <c r="B32" s="175"/>
      <c r="C32" s="67">
        <v>200</v>
      </c>
      <c r="D32" s="67" t="s">
        <v>199</v>
      </c>
      <c r="E32" s="70">
        <v>24</v>
      </c>
      <c r="F32" s="68" t="s">
        <v>195</v>
      </c>
      <c r="G32" s="67" t="s">
        <v>196</v>
      </c>
      <c r="H32" s="67"/>
    </row>
    <row r="33" spans="2:8" ht="14.25" customHeight="1">
      <c r="B33" s="175"/>
      <c r="C33" s="67">
        <v>200</v>
      </c>
      <c r="D33" s="67" t="s">
        <v>197</v>
      </c>
      <c r="E33" s="70">
        <v>996</v>
      </c>
      <c r="F33" s="68" t="s">
        <v>195</v>
      </c>
      <c r="G33" s="67" t="s">
        <v>198</v>
      </c>
      <c r="H33" s="67"/>
    </row>
    <row r="34" spans="2:8" ht="14.25" customHeight="1">
      <c r="B34" s="175"/>
      <c r="C34" s="67">
        <v>160</v>
      </c>
      <c r="D34" s="67" t="s">
        <v>197</v>
      </c>
      <c r="E34" s="70">
        <v>2770</v>
      </c>
      <c r="F34" s="68" t="s">
        <v>195</v>
      </c>
      <c r="G34" s="67" t="s">
        <v>198</v>
      </c>
      <c r="H34" s="67"/>
    </row>
    <row r="35" spans="2:8" ht="14.25" customHeight="1">
      <c r="B35" s="175"/>
      <c r="C35" s="67">
        <v>150</v>
      </c>
      <c r="D35" s="67" t="s">
        <v>194</v>
      </c>
      <c r="E35" s="70">
        <v>2734.34</v>
      </c>
      <c r="F35" s="68" t="s">
        <v>195</v>
      </c>
      <c r="G35" s="67" t="s">
        <v>196</v>
      </c>
      <c r="H35" s="67"/>
    </row>
    <row r="36" spans="2:8" ht="14.25" customHeight="1">
      <c r="B36" s="175"/>
      <c r="C36" s="67">
        <v>150</v>
      </c>
      <c r="D36" s="67" t="s">
        <v>199</v>
      </c>
      <c r="E36" s="70">
        <v>20</v>
      </c>
      <c r="F36" s="68" t="s">
        <v>195</v>
      </c>
      <c r="G36" s="67" t="s">
        <v>196</v>
      </c>
      <c r="H36" s="67"/>
    </row>
    <row r="37" spans="2:8" ht="14.25" customHeight="1">
      <c r="B37" s="175"/>
      <c r="C37" s="67">
        <v>140</v>
      </c>
      <c r="D37" s="67" t="s">
        <v>197</v>
      </c>
      <c r="E37" s="70">
        <v>2377.4299999999998</v>
      </c>
      <c r="F37" s="68" t="s">
        <v>195</v>
      </c>
      <c r="G37" s="67" t="s">
        <v>198</v>
      </c>
      <c r="H37" s="67"/>
    </row>
    <row r="38" spans="2:8" ht="14.25" customHeight="1">
      <c r="B38" s="175"/>
      <c r="C38" s="67">
        <v>110</v>
      </c>
      <c r="D38" s="67" t="s">
        <v>197</v>
      </c>
      <c r="E38" s="70">
        <v>799</v>
      </c>
      <c r="F38" s="68" t="s">
        <v>195</v>
      </c>
      <c r="G38" s="67" t="s">
        <v>198</v>
      </c>
      <c r="H38" s="67"/>
    </row>
    <row r="39" spans="2:8" ht="14.25" customHeight="1">
      <c r="B39" s="175"/>
      <c r="C39" s="67">
        <v>110</v>
      </c>
      <c r="D39" s="67" t="s">
        <v>200</v>
      </c>
      <c r="E39" s="70">
        <v>14</v>
      </c>
      <c r="F39" s="68" t="s">
        <v>195</v>
      </c>
      <c r="G39" s="67" t="s">
        <v>198</v>
      </c>
      <c r="H39" s="67"/>
    </row>
    <row r="40" spans="2:8" ht="14.25" customHeight="1">
      <c r="B40" s="172"/>
      <c r="C40" s="67">
        <v>100</v>
      </c>
      <c r="D40" s="67" t="s">
        <v>194</v>
      </c>
      <c r="E40" s="70">
        <v>8182.4</v>
      </c>
      <c r="F40" s="68" t="s">
        <v>195</v>
      </c>
      <c r="G40" s="67" t="s">
        <v>196</v>
      </c>
      <c r="H40" s="67"/>
    </row>
    <row r="41" spans="2:8" ht="14.25" customHeight="1">
      <c r="B41" s="247" t="s">
        <v>40</v>
      </c>
      <c r="C41" s="71">
        <v>160</v>
      </c>
      <c r="D41" s="67" t="s">
        <v>197</v>
      </c>
      <c r="E41" s="72">
        <v>300</v>
      </c>
      <c r="F41" s="68" t="s">
        <v>195</v>
      </c>
      <c r="G41" s="67" t="s">
        <v>198</v>
      </c>
      <c r="H41" s="67"/>
    </row>
    <row r="42" spans="2:8" ht="14.25" customHeight="1">
      <c r="B42" s="175"/>
      <c r="C42" s="71">
        <v>140</v>
      </c>
      <c r="D42" s="67" t="s">
        <v>197</v>
      </c>
      <c r="E42" s="72">
        <v>6350</v>
      </c>
      <c r="F42" s="68" t="s">
        <v>195</v>
      </c>
      <c r="G42" s="67" t="s">
        <v>198</v>
      </c>
      <c r="H42" s="67"/>
    </row>
    <row r="43" spans="2:8" ht="14.25" customHeight="1">
      <c r="B43" s="172"/>
      <c r="C43" s="71">
        <v>110</v>
      </c>
      <c r="D43" s="67" t="s">
        <v>197</v>
      </c>
      <c r="E43" s="72">
        <v>480</v>
      </c>
      <c r="F43" s="68" t="s">
        <v>195</v>
      </c>
      <c r="G43" s="67" t="s">
        <v>198</v>
      </c>
      <c r="H43" s="67"/>
    </row>
    <row r="44" spans="2:8" ht="14.25" customHeight="1">
      <c r="B44" s="247" t="s">
        <v>11</v>
      </c>
      <c r="C44" s="71">
        <v>225</v>
      </c>
      <c r="D44" s="67" t="s">
        <v>197</v>
      </c>
      <c r="E44" s="72">
        <v>250</v>
      </c>
      <c r="F44" s="68" t="s">
        <v>195</v>
      </c>
      <c r="G44" s="67" t="s">
        <v>198</v>
      </c>
      <c r="H44" s="67"/>
    </row>
    <row r="45" spans="2:8" ht="14.25" customHeight="1">
      <c r="B45" s="175"/>
      <c r="C45" s="71">
        <v>150</v>
      </c>
      <c r="D45" s="67" t="s">
        <v>194</v>
      </c>
      <c r="E45" s="72">
        <v>263</v>
      </c>
      <c r="F45" s="68" t="s">
        <v>195</v>
      </c>
      <c r="G45" s="67" t="s">
        <v>196</v>
      </c>
      <c r="H45" s="67"/>
    </row>
    <row r="46" spans="2:8" ht="14.25" customHeight="1">
      <c r="B46" s="175"/>
      <c r="C46" s="71">
        <v>125</v>
      </c>
      <c r="D46" s="67" t="s">
        <v>197</v>
      </c>
      <c r="E46" s="72">
        <v>168</v>
      </c>
      <c r="F46" s="68" t="s">
        <v>195</v>
      </c>
      <c r="G46" s="67" t="s">
        <v>198</v>
      </c>
      <c r="H46" s="67"/>
    </row>
    <row r="47" spans="2:8" ht="14.25" customHeight="1">
      <c r="B47" s="175"/>
      <c r="C47" s="71">
        <v>110</v>
      </c>
      <c r="D47" s="67" t="s">
        <v>197</v>
      </c>
      <c r="E47" s="72">
        <v>474</v>
      </c>
      <c r="F47" s="68" t="s">
        <v>195</v>
      </c>
      <c r="G47" s="67" t="s">
        <v>198</v>
      </c>
      <c r="H47" s="67"/>
    </row>
    <row r="48" spans="2:8" ht="14.25" customHeight="1">
      <c r="B48" s="172"/>
      <c r="C48" s="71">
        <v>100</v>
      </c>
      <c r="D48" s="67" t="s">
        <v>194</v>
      </c>
      <c r="E48" s="72">
        <v>3402</v>
      </c>
      <c r="F48" s="68" t="s">
        <v>195</v>
      </c>
      <c r="G48" s="67" t="s">
        <v>196</v>
      </c>
      <c r="H48" s="67"/>
    </row>
    <row r="49" spans="2:8" ht="14.25" customHeight="1">
      <c r="B49" s="247" t="s">
        <v>41</v>
      </c>
      <c r="C49" s="71">
        <v>140</v>
      </c>
      <c r="D49" s="67" t="s">
        <v>197</v>
      </c>
      <c r="E49" s="72">
        <v>216</v>
      </c>
      <c r="F49" s="68" t="s">
        <v>195</v>
      </c>
      <c r="G49" s="67" t="s">
        <v>198</v>
      </c>
      <c r="H49" s="67"/>
    </row>
    <row r="50" spans="2:8" ht="14.25" customHeight="1">
      <c r="B50" s="175"/>
      <c r="C50" s="71">
        <v>110</v>
      </c>
      <c r="D50" s="67" t="s">
        <v>197</v>
      </c>
      <c r="E50" s="72">
        <v>2000</v>
      </c>
      <c r="F50" s="68" t="s">
        <v>195</v>
      </c>
      <c r="G50" s="67" t="s">
        <v>198</v>
      </c>
      <c r="H50" s="67"/>
    </row>
    <row r="51" spans="2:8" ht="14.25" customHeight="1">
      <c r="B51" s="172"/>
      <c r="C51" s="71">
        <v>110</v>
      </c>
      <c r="D51" s="67" t="s">
        <v>200</v>
      </c>
      <c r="E51" s="72">
        <v>3620</v>
      </c>
      <c r="F51" s="68" t="s">
        <v>195</v>
      </c>
      <c r="G51" s="67" t="s">
        <v>198</v>
      </c>
      <c r="H51" s="67" t="s">
        <v>201</v>
      </c>
    </row>
    <row r="52" spans="2:8" ht="14.25" customHeight="1">
      <c r="B52" s="247" t="s">
        <v>42</v>
      </c>
      <c r="C52" s="71">
        <v>125</v>
      </c>
      <c r="D52" s="67" t="s">
        <v>197</v>
      </c>
      <c r="E52" s="72">
        <v>1114.6600000000001</v>
      </c>
      <c r="F52" s="68" t="s">
        <v>195</v>
      </c>
      <c r="G52" s="67" t="s">
        <v>198</v>
      </c>
      <c r="H52" s="67"/>
    </row>
    <row r="53" spans="2:8" ht="14.25" customHeight="1">
      <c r="B53" s="172"/>
      <c r="C53" s="71">
        <v>110</v>
      </c>
      <c r="D53" s="67" t="s">
        <v>197</v>
      </c>
      <c r="E53" s="72">
        <v>332</v>
      </c>
      <c r="F53" s="68" t="s">
        <v>195</v>
      </c>
      <c r="G53" s="67" t="s">
        <v>198</v>
      </c>
      <c r="H53" s="67"/>
    </row>
    <row r="54" spans="2:8" ht="14.25" customHeight="1">
      <c r="B54" s="73" t="s">
        <v>43</v>
      </c>
      <c r="C54" s="71">
        <v>150</v>
      </c>
      <c r="D54" s="67" t="s">
        <v>194</v>
      </c>
      <c r="E54" s="74">
        <v>1500</v>
      </c>
      <c r="F54" s="68" t="s">
        <v>195</v>
      </c>
      <c r="G54" s="67" t="s">
        <v>196</v>
      </c>
      <c r="H54" s="67"/>
    </row>
    <row r="55" spans="2:8" ht="14.25" customHeight="1">
      <c r="B55" s="247" t="s">
        <v>45</v>
      </c>
      <c r="C55" s="71">
        <v>110</v>
      </c>
      <c r="D55" s="67" t="s">
        <v>197</v>
      </c>
      <c r="E55" s="72">
        <v>2580</v>
      </c>
      <c r="F55" s="68" t="s">
        <v>195</v>
      </c>
      <c r="G55" s="67" t="s">
        <v>198</v>
      </c>
      <c r="H55" s="67"/>
    </row>
    <row r="56" spans="2:8" ht="14.25" customHeight="1">
      <c r="B56" s="172"/>
      <c r="C56" s="71">
        <v>100</v>
      </c>
      <c r="D56" s="67" t="s">
        <v>199</v>
      </c>
      <c r="E56" s="72">
        <v>75</v>
      </c>
      <c r="F56" s="68" t="s">
        <v>195</v>
      </c>
      <c r="G56" s="67" t="s">
        <v>198</v>
      </c>
      <c r="H56" s="67"/>
    </row>
    <row r="57" spans="2:8" ht="14.25" customHeight="1">
      <c r="B57" s="73" t="s">
        <v>75</v>
      </c>
      <c r="C57" s="71">
        <v>63</v>
      </c>
      <c r="D57" s="67" t="s">
        <v>200</v>
      </c>
      <c r="E57" s="72">
        <v>1000</v>
      </c>
      <c r="F57" s="68" t="s">
        <v>195</v>
      </c>
      <c r="G57" s="67" t="s">
        <v>198</v>
      </c>
      <c r="H57" s="67"/>
    </row>
    <row r="58" spans="2:8" ht="14.25" customHeight="1">
      <c r="B58" s="247" t="s">
        <v>47</v>
      </c>
      <c r="C58" s="71">
        <v>160</v>
      </c>
      <c r="D58" s="67" t="s">
        <v>197</v>
      </c>
      <c r="E58" s="72">
        <v>2686.92</v>
      </c>
      <c r="F58" s="68" t="s">
        <v>195</v>
      </c>
      <c r="G58" s="67" t="s">
        <v>198</v>
      </c>
      <c r="H58" s="67"/>
    </row>
    <row r="59" spans="2:8" ht="14.25" customHeight="1">
      <c r="B59" s="175"/>
      <c r="C59" s="71">
        <v>140</v>
      </c>
      <c r="D59" s="67" t="s">
        <v>197</v>
      </c>
      <c r="E59" s="74">
        <v>577.79999999999995</v>
      </c>
      <c r="F59" s="68" t="s">
        <v>195</v>
      </c>
      <c r="G59" s="67" t="s">
        <v>198</v>
      </c>
      <c r="H59" s="67"/>
    </row>
    <row r="60" spans="2:8" ht="14.25" customHeight="1">
      <c r="B60" s="172"/>
      <c r="C60" s="71">
        <v>110</v>
      </c>
      <c r="D60" s="67" t="s">
        <v>197</v>
      </c>
      <c r="E60" s="72">
        <v>1504</v>
      </c>
      <c r="F60" s="68" t="s">
        <v>195</v>
      </c>
      <c r="G60" s="67" t="s">
        <v>198</v>
      </c>
      <c r="H60" s="67"/>
    </row>
    <row r="61" spans="2:8" ht="14.25" customHeight="1">
      <c r="B61" s="247" t="s">
        <v>49</v>
      </c>
      <c r="C61" s="71">
        <v>140</v>
      </c>
      <c r="D61" s="67" t="s">
        <v>197</v>
      </c>
      <c r="E61" s="72">
        <v>2187.79</v>
      </c>
      <c r="F61" s="68" t="s">
        <v>195</v>
      </c>
      <c r="G61" s="67" t="s">
        <v>198</v>
      </c>
      <c r="H61" s="67"/>
    </row>
    <row r="62" spans="2:8" ht="14.25" customHeight="1">
      <c r="B62" s="172"/>
      <c r="C62" s="71">
        <v>110</v>
      </c>
      <c r="D62" s="67" t="s">
        <v>197</v>
      </c>
      <c r="E62" s="72">
        <v>404.25</v>
      </c>
      <c r="F62" s="68" t="s">
        <v>195</v>
      </c>
      <c r="G62" s="67" t="s">
        <v>198</v>
      </c>
      <c r="H62" s="67"/>
    </row>
    <row r="63" spans="2:8" ht="15.75">
      <c r="B63" s="247" t="s">
        <v>202</v>
      </c>
      <c r="C63" s="71">
        <v>200</v>
      </c>
      <c r="D63" s="67" t="s">
        <v>197</v>
      </c>
      <c r="E63" s="72">
        <v>741.4</v>
      </c>
      <c r="F63" s="68" t="s">
        <v>195</v>
      </c>
      <c r="G63" s="67" t="s">
        <v>198</v>
      </c>
      <c r="H63" s="67"/>
    </row>
    <row r="64" spans="2:8" ht="15.75">
      <c r="B64" s="175"/>
      <c r="C64" s="71">
        <v>160</v>
      </c>
      <c r="D64" s="67" t="s">
        <v>197</v>
      </c>
      <c r="E64" s="72">
        <v>1355.3</v>
      </c>
      <c r="F64" s="68" t="s">
        <v>195</v>
      </c>
      <c r="G64" s="67" t="s">
        <v>198</v>
      </c>
      <c r="H64" s="67"/>
    </row>
    <row r="65" spans="2:8" ht="15.75">
      <c r="B65" s="172"/>
      <c r="C65" s="71">
        <v>110</v>
      </c>
      <c r="D65" s="67" t="s">
        <v>197</v>
      </c>
      <c r="E65" s="72">
        <v>3656.75</v>
      </c>
      <c r="F65" s="68" t="s">
        <v>195</v>
      </c>
      <c r="G65" s="67" t="s">
        <v>198</v>
      </c>
      <c r="H65" s="67"/>
    </row>
    <row r="66" spans="2:8" ht="14.25" customHeight="1">
      <c r="B66" s="247" t="s">
        <v>51</v>
      </c>
      <c r="C66" s="71">
        <v>110</v>
      </c>
      <c r="D66" s="71" t="s">
        <v>197</v>
      </c>
      <c r="E66" s="74">
        <v>1010.93</v>
      </c>
      <c r="F66" s="68" t="s">
        <v>195</v>
      </c>
      <c r="G66" s="67" t="s">
        <v>198</v>
      </c>
      <c r="H66" s="67"/>
    </row>
    <row r="67" spans="2:8" ht="14.25" customHeight="1">
      <c r="B67" s="172"/>
      <c r="C67" s="71">
        <v>100</v>
      </c>
      <c r="D67" s="71" t="s">
        <v>199</v>
      </c>
      <c r="E67" s="74">
        <v>43.2</v>
      </c>
      <c r="F67" s="68" t="s">
        <v>195</v>
      </c>
      <c r="G67" s="67" t="s">
        <v>198</v>
      </c>
      <c r="H67" s="67"/>
    </row>
    <row r="68" spans="2:8" ht="14.25" customHeight="1">
      <c r="B68" s="247" t="s">
        <v>53</v>
      </c>
      <c r="C68" s="75">
        <v>125</v>
      </c>
      <c r="D68" s="71" t="s">
        <v>203</v>
      </c>
      <c r="E68" s="74">
        <v>1628.16</v>
      </c>
      <c r="F68" s="68" t="s">
        <v>195</v>
      </c>
      <c r="G68" s="67" t="s">
        <v>198</v>
      </c>
      <c r="H68" s="67"/>
    </row>
    <row r="69" spans="2:8" ht="14.25" customHeight="1">
      <c r="B69" s="175"/>
      <c r="C69" s="75">
        <v>110</v>
      </c>
      <c r="D69" s="71" t="s">
        <v>197</v>
      </c>
      <c r="E69" s="74">
        <v>4567.59</v>
      </c>
      <c r="F69" s="68" t="s">
        <v>195</v>
      </c>
      <c r="G69" s="67" t="s">
        <v>198</v>
      </c>
      <c r="H69" s="67"/>
    </row>
    <row r="70" spans="2:8" ht="14.25" customHeight="1">
      <c r="B70" s="172"/>
      <c r="C70" s="75">
        <v>100</v>
      </c>
      <c r="D70" s="71" t="s">
        <v>203</v>
      </c>
      <c r="E70" s="74">
        <v>5069.22</v>
      </c>
      <c r="F70" s="68" t="s">
        <v>195</v>
      </c>
      <c r="G70" s="67" t="s">
        <v>198</v>
      </c>
      <c r="H70" s="67"/>
    </row>
    <row r="71" spans="2:8" ht="14.25" customHeight="1">
      <c r="B71" s="247" t="s">
        <v>56</v>
      </c>
      <c r="C71" s="76">
        <v>160</v>
      </c>
      <c r="D71" s="77" t="s">
        <v>197</v>
      </c>
      <c r="E71" s="78">
        <v>250</v>
      </c>
      <c r="F71" s="68" t="s">
        <v>195</v>
      </c>
      <c r="G71" s="67" t="s">
        <v>198</v>
      </c>
      <c r="H71" s="67"/>
    </row>
    <row r="72" spans="2:8" ht="14.25" customHeight="1">
      <c r="B72" s="175"/>
      <c r="C72" s="67">
        <v>140</v>
      </c>
      <c r="D72" s="73" t="s">
        <v>197</v>
      </c>
      <c r="E72" s="73">
        <v>2620</v>
      </c>
      <c r="F72" s="68" t="s">
        <v>195</v>
      </c>
      <c r="G72" s="67" t="s">
        <v>198</v>
      </c>
      <c r="H72" s="67"/>
    </row>
    <row r="73" spans="2:8" ht="14.25" customHeight="1">
      <c r="B73" s="172"/>
      <c r="C73" s="67">
        <v>110</v>
      </c>
      <c r="D73" s="73" t="s">
        <v>197</v>
      </c>
      <c r="E73" s="73">
        <v>150</v>
      </c>
      <c r="F73" s="68" t="s">
        <v>195</v>
      </c>
      <c r="G73" s="67" t="s">
        <v>198</v>
      </c>
      <c r="H73" s="67"/>
    </row>
    <row r="74" spans="2:8" ht="14.25" customHeight="1">
      <c r="B74" s="247" t="s">
        <v>59</v>
      </c>
      <c r="C74" s="76">
        <v>125</v>
      </c>
      <c r="D74" s="77" t="s">
        <v>197</v>
      </c>
      <c r="E74" s="78">
        <v>1296</v>
      </c>
      <c r="F74" s="68" t="s">
        <v>195</v>
      </c>
      <c r="G74" s="67" t="s">
        <v>198</v>
      </c>
      <c r="H74" s="67"/>
    </row>
    <row r="75" spans="2:8" ht="14.25" customHeight="1">
      <c r="B75" s="175"/>
      <c r="C75" s="76">
        <v>125</v>
      </c>
      <c r="D75" s="77" t="s">
        <v>203</v>
      </c>
      <c r="E75" s="78">
        <v>1272</v>
      </c>
      <c r="F75" s="68" t="s">
        <v>195</v>
      </c>
      <c r="G75" s="67" t="s">
        <v>198</v>
      </c>
      <c r="H75" s="67"/>
    </row>
    <row r="76" spans="2:8" ht="14.25" customHeight="1">
      <c r="B76" s="175"/>
      <c r="C76" s="76">
        <v>110</v>
      </c>
      <c r="D76" s="77" t="s">
        <v>197</v>
      </c>
      <c r="E76" s="78">
        <v>3123</v>
      </c>
      <c r="F76" s="68" t="s">
        <v>195</v>
      </c>
      <c r="G76" s="67" t="s">
        <v>198</v>
      </c>
      <c r="H76" s="67"/>
    </row>
    <row r="77" spans="2:8" ht="14.25" customHeight="1">
      <c r="B77" s="175"/>
      <c r="C77" s="76">
        <v>100</v>
      </c>
      <c r="D77" s="77" t="s">
        <v>199</v>
      </c>
      <c r="E77" s="78">
        <v>78</v>
      </c>
      <c r="F77" s="68" t="s">
        <v>195</v>
      </c>
      <c r="G77" s="67" t="s">
        <v>198</v>
      </c>
      <c r="H77" s="67"/>
    </row>
    <row r="78" spans="2:8" ht="14.25" customHeight="1">
      <c r="B78" s="172"/>
      <c r="C78" s="76">
        <v>100</v>
      </c>
      <c r="D78" s="77" t="s">
        <v>203</v>
      </c>
      <c r="E78" s="78">
        <v>2976</v>
      </c>
      <c r="F78" s="68" t="s">
        <v>195</v>
      </c>
      <c r="G78" s="67" t="s">
        <v>198</v>
      </c>
      <c r="H78" s="67"/>
    </row>
    <row r="79" spans="2:8" ht="14.25" customHeight="1">
      <c r="B79" s="247" t="s">
        <v>61</v>
      </c>
      <c r="C79" s="71">
        <v>160</v>
      </c>
      <c r="D79" s="71" t="s">
        <v>197</v>
      </c>
      <c r="E79" s="72">
        <v>788</v>
      </c>
      <c r="F79" s="68" t="s">
        <v>195</v>
      </c>
      <c r="G79" s="67" t="s">
        <v>198</v>
      </c>
      <c r="H79" s="67"/>
    </row>
    <row r="80" spans="2:8" ht="14.25" customHeight="1">
      <c r="B80" s="175"/>
      <c r="C80" s="71">
        <v>140</v>
      </c>
      <c r="D80" s="71" t="s">
        <v>197</v>
      </c>
      <c r="E80" s="72">
        <v>79.5</v>
      </c>
      <c r="F80" s="68" t="s">
        <v>195</v>
      </c>
      <c r="G80" s="67" t="s">
        <v>198</v>
      </c>
      <c r="H80" s="67"/>
    </row>
    <row r="81" spans="2:8" ht="14.25" customHeight="1">
      <c r="B81" s="172"/>
      <c r="C81" s="71">
        <v>110</v>
      </c>
      <c r="D81" s="71" t="s">
        <v>197</v>
      </c>
      <c r="E81" s="72">
        <v>225</v>
      </c>
      <c r="F81" s="68" t="s">
        <v>195</v>
      </c>
      <c r="G81" s="67" t="s">
        <v>198</v>
      </c>
      <c r="H81" s="67"/>
    </row>
    <row r="82" spans="2:8" ht="14.25" customHeight="1">
      <c r="B82" s="247" t="s">
        <v>64</v>
      </c>
      <c r="C82" s="71">
        <v>75</v>
      </c>
      <c r="D82" s="67" t="s">
        <v>200</v>
      </c>
      <c r="E82" s="72">
        <v>1609</v>
      </c>
      <c r="F82" s="67" t="s">
        <v>204</v>
      </c>
      <c r="G82" s="67" t="s">
        <v>198</v>
      </c>
      <c r="H82" s="67"/>
    </row>
    <row r="83" spans="2:8" ht="14.25" customHeight="1">
      <c r="B83" s="175"/>
      <c r="C83" s="71">
        <v>75</v>
      </c>
      <c r="D83" s="67" t="s">
        <v>200</v>
      </c>
      <c r="E83" s="72">
        <v>6836.9</v>
      </c>
      <c r="F83" s="68" t="s">
        <v>195</v>
      </c>
      <c r="G83" s="67" t="s">
        <v>198</v>
      </c>
      <c r="H83" s="67"/>
    </row>
    <row r="84" spans="2:8" ht="14.25" customHeight="1">
      <c r="B84" s="175"/>
      <c r="C84" s="71">
        <v>60</v>
      </c>
      <c r="D84" s="71" t="s">
        <v>203</v>
      </c>
      <c r="E84" s="72">
        <v>1101.1099999999999</v>
      </c>
      <c r="F84" s="68" t="s">
        <v>195</v>
      </c>
      <c r="G84" s="67" t="s">
        <v>198</v>
      </c>
      <c r="H84" s="67"/>
    </row>
    <row r="85" spans="2:8" ht="14.25" customHeight="1">
      <c r="B85" s="172"/>
      <c r="C85" s="71">
        <v>60</v>
      </c>
      <c r="D85" s="71" t="s">
        <v>199</v>
      </c>
      <c r="E85" s="67">
        <v>132</v>
      </c>
      <c r="F85" s="68" t="s">
        <v>195</v>
      </c>
      <c r="G85" s="67" t="s">
        <v>198</v>
      </c>
      <c r="H85" s="67"/>
    </row>
    <row r="86" spans="2:8" ht="14.25" customHeight="1">
      <c r="B86" s="244" t="s">
        <v>66</v>
      </c>
      <c r="C86" s="68">
        <v>160</v>
      </c>
      <c r="D86" s="68" t="s">
        <v>197</v>
      </c>
      <c r="E86" s="68">
        <v>1518</v>
      </c>
      <c r="F86" s="68" t="s">
        <v>195</v>
      </c>
      <c r="G86" s="67" t="s">
        <v>198</v>
      </c>
      <c r="H86" s="14"/>
    </row>
    <row r="87" spans="2:8" ht="14.25" customHeight="1">
      <c r="B87" s="175"/>
      <c r="C87" s="68">
        <v>140</v>
      </c>
      <c r="D87" s="68" t="s">
        <v>197</v>
      </c>
      <c r="E87" s="68">
        <v>2819</v>
      </c>
      <c r="F87" s="68" t="s">
        <v>195</v>
      </c>
      <c r="G87" s="67" t="s">
        <v>198</v>
      </c>
      <c r="H87" s="14"/>
    </row>
    <row r="88" spans="2:8" ht="14.25" customHeight="1">
      <c r="B88" s="176"/>
      <c r="C88" s="154">
        <v>110</v>
      </c>
      <c r="D88" s="154" t="s">
        <v>197</v>
      </c>
      <c r="E88" s="154">
        <v>3066</v>
      </c>
      <c r="F88" s="154" t="s">
        <v>195</v>
      </c>
      <c r="G88" s="155" t="s">
        <v>198</v>
      </c>
      <c r="H88" s="95"/>
    </row>
    <row r="89" spans="2:8" ht="22.5" customHeight="1">
      <c r="B89" s="225" t="s">
        <v>394</v>
      </c>
      <c r="C89" s="225"/>
      <c r="D89" s="225"/>
      <c r="E89" s="225"/>
      <c r="F89" s="225"/>
      <c r="G89" s="225"/>
      <c r="H89" s="225"/>
    </row>
    <row r="90" spans="2:8" ht="14.25" customHeight="1">
      <c r="B90" s="238" t="s">
        <v>324</v>
      </c>
      <c r="C90" s="138" t="s">
        <v>430</v>
      </c>
      <c r="D90" s="139">
        <v>110</v>
      </c>
      <c r="E90" s="139" t="s">
        <v>197</v>
      </c>
      <c r="F90" s="139">
        <v>600</v>
      </c>
      <c r="G90" s="139" t="s">
        <v>195</v>
      </c>
      <c r="H90" s="140" t="s">
        <v>196</v>
      </c>
    </row>
    <row r="91" spans="2:8" ht="14.25" customHeight="1">
      <c r="B91" s="238"/>
      <c r="C91" s="122" t="s">
        <v>430</v>
      </c>
      <c r="D91" s="115">
        <v>63</v>
      </c>
      <c r="E91" s="115" t="s">
        <v>200</v>
      </c>
      <c r="F91" s="115">
        <v>3467</v>
      </c>
      <c r="G91" s="115" t="s">
        <v>195</v>
      </c>
      <c r="H91" s="116" t="s">
        <v>196</v>
      </c>
    </row>
    <row r="92" spans="2:8" ht="14.25" customHeight="1">
      <c r="B92" s="238"/>
      <c r="C92" s="122" t="s">
        <v>430</v>
      </c>
      <c r="D92" s="115">
        <v>50</v>
      </c>
      <c r="E92" s="115" t="s">
        <v>200</v>
      </c>
      <c r="F92" s="115">
        <v>1430</v>
      </c>
      <c r="G92" s="115" t="s">
        <v>195</v>
      </c>
      <c r="H92" s="116" t="s">
        <v>196</v>
      </c>
    </row>
    <row r="93" spans="2:8" ht="14.25" customHeight="1">
      <c r="B93" s="238"/>
      <c r="C93" s="122" t="s">
        <v>430</v>
      </c>
      <c r="D93" s="115">
        <v>60</v>
      </c>
      <c r="E93" s="115" t="s">
        <v>194</v>
      </c>
      <c r="F93" s="115">
        <v>15916</v>
      </c>
      <c r="G93" s="115" t="s">
        <v>195</v>
      </c>
      <c r="H93" s="116" t="s">
        <v>196</v>
      </c>
    </row>
    <row r="94" spans="2:8" ht="14.25" customHeight="1">
      <c r="B94" s="238"/>
      <c r="C94" s="122" t="s">
        <v>430</v>
      </c>
      <c r="D94" s="115">
        <v>225</v>
      </c>
      <c r="E94" s="115" t="s">
        <v>197</v>
      </c>
      <c r="F94" s="115">
        <v>9183</v>
      </c>
      <c r="G94" s="115" t="s">
        <v>195</v>
      </c>
      <c r="H94" s="116" t="s">
        <v>196</v>
      </c>
    </row>
    <row r="95" spans="2:8" ht="14.25" customHeight="1">
      <c r="B95" s="238"/>
      <c r="C95" s="122" t="s">
        <v>430</v>
      </c>
      <c r="D95" s="115">
        <v>60</v>
      </c>
      <c r="E95" s="115" t="s">
        <v>194</v>
      </c>
      <c r="F95" s="115">
        <v>4938</v>
      </c>
      <c r="G95" s="115" t="s">
        <v>195</v>
      </c>
      <c r="H95" s="116" t="s">
        <v>196</v>
      </c>
    </row>
    <row r="96" spans="2:8" ht="14.25" customHeight="1">
      <c r="B96" s="238"/>
      <c r="C96" s="122" t="s">
        <v>430</v>
      </c>
      <c r="D96" s="115">
        <v>63</v>
      </c>
      <c r="E96" s="115" t="s">
        <v>197</v>
      </c>
      <c r="F96" s="115">
        <v>2645</v>
      </c>
      <c r="G96" s="115" t="s">
        <v>195</v>
      </c>
      <c r="H96" s="116" t="s">
        <v>196</v>
      </c>
    </row>
    <row r="97" spans="2:8" ht="14.25" customHeight="1">
      <c r="B97" s="238"/>
      <c r="C97" s="122" t="s">
        <v>430</v>
      </c>
      <c r="D97" s="115">
        <v>80</v>
      </c>
      <c r="E97" s="115" t="s">
        <v>194</v>
      </c>
      <c r="F97" s="115">
        <v>504</v>
      </c>
      <c r="G97" s="115" t="s">
        <v>195</v>
      </c>
      <c r="H97" s="116" t="s">
        <v>196</v>
      </c>
    </row>
    <row r="98" spans="2:8" ht="14.25" customHeight="1">
      <c r="B98" s="238"/>
      <c r="C98" s="122" t="s">
        <v>430</v>
      </c>
      <c r="D98" s="115">
        <v>90</v>
      </c>
      <c r="E98" s="115" t="s">
        <v>197</v>
      </c>
      <c r="F98" s="115">
        <v>2486</v>
      </c>
      <c r="G98" s="115" t="s">
        <v>195</v>
      </c>
      <c r="H98" s="116" t="s">
        <v>196</v>
      </c>
    </row>
    <row r="99" spans="2:8" ht="14.25" customHeight="1">
      <c r="B99" s="238"/>
      <c r="C99" s="122" t="s">
        <v>430</v>
      </c>
      <c r="D99" s="115">
        <v>100</v>
      </c>
      <c r="E99" s="115" t="s">
        <v>194</v>
      </c>
      <c r="F99" s="115">
        <v>1134</v>
      </c>
      <c r="G99" s="115" t="s">
        <v>195</v>
      </c>
      <c r="H99" s="116" t="s">
        <v>196</v>
      </c>
    </row>
    <row r="100" spans="2:8" ht="14.25" customHeight="1">
      <c r="B100" s="238"/>
      <c r="C100" s="122" t="s">
        <v>430</v>
      </c>
      <c r="D100" s="115">
        <v>110</v>
      </c>
      <c r="E100" s="115" t="s">
        <v>197</v>
      </c>
      <c r="F100" s="115">
        <v>62</v>
      </c>
      <c r="G100" s="115" t="s">
        <v>195</v>
      </c>
      <c r="H100" s="116" t="s">
        <v>196</v>
      </c>
    </row>
    <row r="101" spans="2:8" ht="14.25" customHeight="1">
      <c r="B101" s="238"/>
      <c r="C101" s="122" t="s">
        <v>430</v>
      </c>
      <c r="D101" s="115">
        <v>125</v>
      </c>
      <c r="E101" s="115" t="s">
        <v>197</v>
      </c>
      <c r="F101" s="115">
        <v>397</v>
      </c>
      <c r="G101" s="115" t="s">
        <v>195</v>
      </c>
      <c r="H101" s="116" t="s">
        <v>196</v>
      </c>
    </row>
    <row r="102" spans="2:8" ht="15" customHeight="1">
      <c r="B102" s="238"/>
      <c r="C102" s="122" t="s">
        <v>430</v>
      </c>
      <c r="D102" s="115">
        <v>200</v>
      </c>
      <c r="E102" s="115" t="s">
        <v>197</v>
      </c>
      <c r="F102" s="115">
        <v>432</v>
      </c>
      <c r="G102" s="115" t="s">
        <v>195</v>
      </c>
      <c r="H102" s="116" t="s">
        <v>196</v>
      </c>
    </row>
    <row r="103" spans="2:8" ht="15" customHeight="1">
      <c r="B103" s="238"/>
      <c r="C103" s="122" t="s">
        <v>430</v>
      </c>
      <c r="D103" s="115">
        <v>75</v>
      </c>
      <c r="E103" s="115" t="s">
        <v>200</v>
      </c>
      <c r="F103" s="115">
        <v>1300</v>
      </c>
      <c r="G103" s="115" t="s">
        <v>195</v>
      </c>
      <c r="H103" s="116" t="s">
        <v>198</v>
      </c>
    </row>
    <row r="104" spans="2:8" ht="15" customHeight="1" thickBot="1">
      <c r="B104" s="239"/>
      <c r="C104" s="123" t="s">
        <v>430</v>
      </c>
      <c r="D104" s="117">
        <v>75</v>
      </c>
      <c r="E104" s="117" t="s">
        <v>200</v>
      </c>
      <c r="F104" s="117">
        <v>65</v>
      </c>
      <c r="G104" s="117" t="s">
        <v>195</v>
      </c>
      <c r="H104" s="118" t="s">
        <v>196</v>
      </c>
    </row>
    <row r="105" spans="2:8" ht="15" customHeight="1">
      <c r="B105" s="240" t="s">
        <v>395</v>
      </c>
      <c r="C105" s="121" t="s">
        <v>430</v>
      </c>
      <c r="D105" s="113">
        <v>110</v>
      </c>
      <c r="E105" s="113" t="s">
        <v>197</v>
      </c>
      <c r="F105" s="113">
        <v>1800</v>
      </c>
      <c r="G105" s="115" t="s">
        <v>195</v>
      </c>
      <c r="H105" s="114" t="s">
        <v>431</v>
      </c>
    </row>
    <row r="106" spans="2:8" ht="15" customHeight="1">
      <c r="B106" s="241"/>
      <c r="C106" s="122" t="s">
        <v>430</v>
      </c>
      <c r="D106" s="115">
        <v>90</v>
      </c>
      <c r="E106" s="115" t="s">
        <v>200</v>
      </c>
      <c r="F106" s="115">
        <v>3600</v>
      </c>
      <c r="G106" s="115" t="s">
        <v>195</v>
      </c>
      <c r="H106" s="116" t="s">
        <v>431</v>
      </c>
    </row>
    <row r="107" spans="2:8" ht="15" customHeight="1">
      <c r="B107" s="241"/>
      <c r="C107" s="122" t="s">
        <v>430</v>
      </c>
      <c r="D107" s="115">
        <v>80</v>
      </c>
      <c r="E107" s="115" t="s">
        <v>203</v>
      </c>
      <c r="F107" s="115">
        <v>3200</v>
      </c>
      <c r="G107" s="115" t="s">
        <v>195</v>
      </c>
      <c r="H107" s="116" t="s">
        <v>431</v>
      </c>
    </row>
    <row r="108" spans="2:8" ht="15" customHeight="1">
      <c r="B108" s="241"/>
      <c r="C108" s="122" t="s">
        <v>430</v>
      </c>
      <c r="D108" s="115">
        <v>90</v>
      </c>
      <c r="E108" s="115" t="s">
        <v>200</v>
      </c>
      <c r="F108" s="115">
        <v>2600</v>
      </c>
      <c r="G108" s="115" t="s">
        <v>195</v>
      </c>
      <c r="H108" s="116" t="s">
        <v>431</v>
      </c>
    </row>
    <row r="109" spans="2:8" ht="15" customHeight="1">
      <c r="B109" s="241"/>
      <c r="C109" s="122" t="s">
        <v>430</v>
      </c>
      <c r="D109" s="115">
        <v>63</v>
      </c>
      <c r="E109" s="115" t="s">
        <v>200</v>
      </c>
      <c r="F109" s="115">
        <v>6700</v>
      </c>
      <c r="G109" s="115" t="s">
        <v>195</v>
      </c>
      <c r="H109" s="116" t="s">
        <v>431</v>
      </c>
    </row>
    <row r="110" spans="2:8" ht="15" customHeight="1">
      <c r="B110" s="241"/>
      <c r="C110" s="122" t="s">
        <v>430</v>
      </c>
      <c r="D110" s="115">
        <v>50</v>
      </c>
      <c r="E110" s="115" t="s">
        <v>200</v>
      </c>
      <c r="F110" s="115">
        <v>1950</v>
      </c>
      <c r="G110" s="115" t="s">
        <v>195</v>
      </c>
      <c r="H110" s="116" t="s">
        <v>431</v>
      </c>
    </row>
    <row r="111" spans="2:8" ht="15" customHeight="1">
      <c r="B111" s="241"/>
      <c r="C111" s="122" t="s">
        <v>430</v>
      </c>
      <c r="D111" s="115">
        <v>160</v>
      </c>
      <c r="E111" s="115" t="s">
        <v>197</v>
      </c>
      <c r="F111" s="115">
        <v>1320</v>
      </c>
      <c r="G111" s="115" t="s">
        <v>195</v>
      </c>
      <c r="H111" s="116" t="s">
        <v>431</v>
      </c>
    </row>
    <row r="112" spans="2:8" ht="15" customHeight="1">
      <c r="B112" s="241"/>
      <c r="C112" s="122" t="s">
        <v>430</v>
      </c>
      <c r="D112" s="115">
        <v>140</v>
      </c>
      <c r="E112" s="115" t="s">
        <v>197</v>
      </c>
      <c r="F112" s="115">
        <v>1074</v>
      </c>
      <c r="G112" s="115" t="s">
        <v>195</v>
      </c>
      <c r="H112" s="116" t="s">
        <v>431</v>
      </c>
    </row>
    <row r="113" spans="2:8" ht="15" customHeight="1">
      <c r="B113" s="241"/>
      <c r="C113" s="122" t="s">
        <v>430</v>
      </c>
      <c r="D113" s="115">
        <v>110</v>
      </c>
      <c r="E113" s="115" t="s">
        <v>197</v>
      </c>
      <c r="F113" s="115">
        <v>1831</v>
      </c>
      <c r="G113" s="115" t="s">
        <v>195</v>
      </c>
      <c r="H113" s="116" t="s">
        <v>431</v>
      </c>
    </row>
    <row r="114" spans="2:8" ht="15" customHeight="1">
      <c r="B114" s="241"/>
      <c r="C114" s="122" t="s">
        <v>430</v>
      </c>
      <c r="D114" s="115">
        <v>90</v>
      </c>
      <c r="E114" s="115" t="s">
        <v>200</v>
      </c>
      <c r="F114" s="115">
        <v>1650</v>
      </c>
      <c r="G114" s="115" t="s">
        <v>195</v>
      </c>
      <c r="H114" s="116" t="s">
        <v>431</v>
      </c>
    </row>
    <row r="115" spans="2:8" ht="15" customHeight="1">
      <c r="B115" s="241"/>
      <c r="C115" s="122" t="s">
        <v>430</v>
      </c>
      <c r="D115" s="115">
        <v>75</v>
      </c>
      <c r="E115" s="115" t="s">
        <v>200</v>
      </c>
      <c r="F115" s="115">
        <v>1070</v>
      </c>
      <c r="G115" s="115" t="s">
        <v>195</v>
      </c>
      <c r="H115" s="116" t="s">
        <v>431</v>
      </c>
    </row>
    <row r="116" spans="2:8" ht="15" customHeight="1">
      <c r="B116" s="241"/>
      <c r="C116" s="122" t="s">
        <v>430</v>
      </c>
      <c r="D116" s="115">
        <v>63</v>
      </c>
      <c r="E116" s="115" t="s">
        <v>200</v>
      </c>
      <c r="F116" s="115">
        <v>7500</v>
      </c>
      <c r="G116" s="115" t="s">
        <v>195</v>
      </c>
      <c r="H116" s="116" t="s">
        <v>431</v>
      </c>
    </row>
    <row r="117" spans="2:8" ht="15" customHeight="1">
      <c r="B117" s="241"/>
      <c r="C117" s="122" t="s">
        <v>430</v>
      </c>
      <c r="D117" s="115">
        <v>50</v>
      </c>
      <c r="E117" s="115" t="s">
        <v>200</v>
      </c>
      <c r="F117" s="115">
        <v>12750</v>
      </c>
      <c r="G117" s="115" t="s">
        <v>195</v>
      </c>
      <c r="H117" s="116" t="s">
        <v>431</v>
      </c>
    </row>
    <row r="118" spans="2:8" ht="15" customHeight="1">
      <c r="B118" s="241"/>
      <c r="C118" s="122" t="s">
        <v>430</v>
      </c>
      <c r="D118" s="115">
        <v>75</v>
      </c>
      <c r="E118" s="115" t="s">
        <v>200</v>
      </c>
      <c r="F118" s="115">
        <v>626</v>
      </c>
      <c r="G118" s="115" t="s">
        <v>195</v>
      </c>
      <c r="H118" s="116" t="s">
        <v>431</v>
      </c>
    </row>
    <row r="119" spans="2:8" ht="15" customHeight="1">
      <c r="B119" s="241"/>
      <c r="C119" s="122" t="s">
        <v>430</v>
      </c>
      <c r="D119" s="115">
        <v>63</v>
      </c>
      <c r="E119" s="115" t="s">
        <v>200</v>
      </c>
      <c r="F119" s="115">
        <v>4600</v>
      </c>
      <c r="G119" s="115" t="s">
        <v>195</v>
      </c>
      <c r="H119" s="116" t="s">
        <v>431</v>
      </c>
    </row>
    <row r="120" spans="2:8" ht="15" customHeight="1">
      <c r="B120" s="241"/>
      <c r="C120" s="122" t="s">
        <v>430</v>
      </c>
      <c r="D120" s="115">
        <v>50</v>
      </c>
      <c r="E120" s="115" t="s">
        <v>200</v>
      </c>
      <c r="F120" s="115">
        <v>8740</v>
      </c>
      <c r="G120" s="115" t="s">
        <v>195</v>
      </c>
      <c r="H120" s="116" t="s">
        <v>431</v>
      </c>
    </row>
    <row r="121" spans="2:8" ht="15" customHeight="1">
      <c r="B121" s="241"/>
      <c r="C121" s="122" t="s">
        <v>430</v>
      </c>
      <c r="D121" s="115">
        <v>63</v>
      </c>
      <c r="E121" s="115" t="s">
        <v>200</v>
      </c>
      <c r="F121" s="115">
        <v>1800</v>
      </c>
      <c r="G121" s="115" t="s">
        <v>195</v>
      </c>
      <c r="H121" s="116" t="s">
        <v>431</v>
      </c>
    </row>
    <row r="122" spans="2:8" ht="15" customHeight="1">
      <c r="B122" s="241"/>
      <c r="C122" s="122" t="s">
        <v>430</v>
      </c>
      <c r="D122" s="115">
        <v>50</v>
      </c>
      <c r="E122" s="115" t="s">
        <v>200</v>
      </c>
      <c r="F122" s="115">
        <v>2400</v>
      </c>
      <c r="G122" s="115" t="s">
        <v>195</v>
      </c>
      <c r="H122" s="116" t="s">
        <v>431</v>
      </c>
    </row>
    <row r="123" spans="2:8" ht="15" customHeight="1">
      <c r="B123" s="241"/>
      <c r="C123" s="122" t="s">
        <v>430</v>
      </c>
      <c r="D123" s="115">
        <v>63</v>
      </c>
      <c r="E123" s="115" t="s">
        <v>200</v>
      </c>
      <c r="F123" s="115">
        <v>1100</v>
      </c>
      <c r="G123" s="115" t="s">
        <v>195</v>
      </c>
      <c r="H123" s="116" t="s">
        <v>431</v>
      </c>
    </row>
    <row r="124" spans="2:8" ht="15" customHeight="1">
      <c r="B124" s="241"/>
      <c r="C124" s="122" t="s">
        <v>430</v>
      </c>
      <c r="D124" s="115">
        <v>50</v>
      </c>
      <c r="E124" s="115" t="s">
        <v>200</v>
      </c>
      <c r="F124" s="115">
        <v>2520</v>
      </c>
      <c r="G124" s="115" t="s">
        <v>195</v>
      </c>
      <c r="H124" s="116" t="s">
        <v>431</v>
      </c>
    </row>
    <row r="125" spans="2:8" ht="15" customHeight="1">
      <c r="B125" s="241"/>
      <c r="C125" s="122" t="s">
        <v>430</v>
      </c>
      <c r="D125" s="115">
        <v>90</v>
      </c>
      <c r="E125" s="115" t="s">
        <v>200</v>
      </c>
      <c r="F125" s="115">
        <v>1819.29</v>
      </c>
      <c r="G125" s="115" t="s">
        <v>195</v>
      </c>
      <c r="H125" s="116" t="s">
        <v>431</v>
      </c>
    </row>
    <row r="126" spans="2:8" ht="15" customHeight="1">
      <c r="B126" s="241"/>
      <c r="C126" s="122" t="s">
        <v>430</v>
      </c>
      <c r="D126" s="115">
        <v>75</v>
      </c>
      <c r="E126" s="115" t="s">
        <v>200</v>
      </c>
      <c r="F126" s="115">
        <v>2192.21</v>
      </c>
      <c r="G126" s="115" t="s">
        <v>195</v>
      </c>
      <c r="H126" s="116" t="s">
        <v>431</v>
      </c>
    </row>
    <row r="127" spans="2:8" ht="15" customHeight="1">
      <c r="B127" s="241"/>
      <c r="C127" s="122" t="s">
        <v>430</v>
      </c>
      <c r="D127" s="115">
        <v>63</v>
      </c>
      <c r="E127" s="115" t="s">
        <v>200</v>
      </c>
      <c r="F127" s="115">
        <v>7600.48</v>
      </c>
      <c r="G127" s="115" t="s">
        <v>195</v>
      </c>
      <c r="H127" s="116" t="s">
        <v>431</v>
      </c>
    </row>
    <row r="128" spans="2:8" ht="15" customHeight="1">
      <c r="B128" s="241"/>
      <c r="C128" s="122" t="s">
        <v>430</v>
      </c>
      <c r="D128" s="115">
        <v>63</v>
      </c>
      <c r="E128" s="115" t="s">
        <v>200</v>
      </c>
      <c r="F128" s="115">
        <v>160</v>
      </c>
      <c r="G128" s="115" t="s">
        <v>195</v>
      </c>
      <c r="H128" s="116" t="s">
        <v>431</v>
      </c>
    </row>
    <row r="129" spans="2:8" ht="15" customHeight="1">
      <c r="B129" s="241"/>
      <c r="C129" s="122" t="s">
        <v>430</v>
      </c>
      <c r="D129" s="115">
        <v>50</v>
      </c>
      <c r="E129" s="115" t="s">
        <v>200</v>
      </c>
      <c r="F129" s="115">
        <v>100</v>
      </c>
      <c r="G129" s="115" t="s">
        <v>195</v>
      </c>
      <c r="H129" s="116" t="s">
        <v>431</v>
      </c>
    </row>
    <row r="130" spans="2:8" ht="15" customHeight="1">
      <c r="B130" s="241"/>
      <c r="C130" s="122" t="s">
        <v>430</v>
      </c>
      <c r="D130" s="115">
        <v>63</v>
      </c>
      <c r="E130" s="115" t="s">
        <v>200</v>
      </c>
      <c r="F130" s="115">
        <v>100</v>
      </c>
      <c r="G130" s="115" t="s">
        <v>195</v>
      </c>
      <c r="H130" s="116" t="s">
        <v>431</v>
      </c>
    </row>
    <row r="131" spans="2:8" ht="15" customHeight="1">
      <c r="B131" s="241"/>
      <c r="C131" s="122" t="s">
        <v>430</v>
      </c>
      <c r="D131" s="115">
        <v>63</v>
      </c>
      <c r="E131" s="115" t="s">
        <v>200</v>
      </c>
      <c r="F131" s="115">
        <v>160</v>
      </c>
      <c r="G131" s="115" t="s">
        <v>195</v>
      </c>
      <c r="H131" s="116" t="s">
        <v>431</v>
      </c>
    </row>
    <row r="132" spans="2:8" ht="15" customHeight="1" thickBot="1">
      <c r="B132" s="242"/>
      <c r="C132" s="123" t="s">
        <v>430</v>
      </c>
      <c r="D132" s="117">
        <v>63</v>
      </c>
      <c r="E132" s="117" t="s">
        <v>200</v>
      </c>
      <c r="F132" s="117">
        <v>1373</v>
      </c>
      <c r="G132" s="117" t="s">
        <v>195</v>
      </c>
      <c r="H132" s="118" t="s">
        <v>196</v>
      </c>
    </row>
    <row r="133" spans="2:8" ht="15" customHeight="1">
      <c r="B133" s="233" t="s">
        <v>396</v>
      </c>
      <c r="C133" s="122" t="s">
        <v>430</v>
      </c>
      <c r="D133" s="115">
        <v>225</v>
      </c>
      <c r="E133" s="115" t="s">
        <v>197</v>
      </c>
      <c r="F133" s="115">
        <v>2851.03</v>
      </c>
      <c r="G133" s="115" t="s">
        <v>195</v>
      </c>
      <c r="H133" s="116" t="s">
        <v>198</v>
      </c>
    </row>
    <row r="134" spans="2:8" ht="15" customHeight="1">
      <c r="B134" s="233"/>
      <c r="C134" s="122" t="s">
        <v>430</v>
      </c>
      <c r="D134" s="115">
        <v>200</v>
      </c>
      <c r="E134" s="115" t="s">
        <v>200</v>
      </c>
      <c r="F134" s="115">
        <v>1984.96</v>
      </c>
      <c r="G134" s="115" t="s">
        <v>195</v>
      </c>
      <c r="H134" s="116" t="s">
        <v>198</v>
      </c>
    </row>
    <row r="135" spans="2:8" ht="15" customHeight="1">
      <c r="B135" s="233"/>
      <c r="C135" s="122" t="s">
        <v>430</v>
      </c>
      <c r="D135" s="115">
        <v>110</v>
      </c>
      <c r="E135" s="115" t="s">
        <v>200</v>
      </c>
      <c r="F135" s="115">
        <v>1568.08</v>
      </c>
      <c r="G135" s="115" t="s">
        <v>195</v>
      </c>
      <c r="H135" s="116" t="s">
        <v>198</v>
      </c>
    </row>
    <row r="136" spans="2:8" ht="15" customHeight="1">
      <c r="B136" s="233"/>
      <c r="C136" s="122" t="s">
        <v>430</v>
      </c>
      <c r="D136" s="115">
        <v>90</v>
      </c>
      <c r="E136" s="115" t="s">
        <v>200</v>
      </c>
      <c r="F136" s="115">
        <v>720.54</v>
      </c>
      <c r="G136" s="115" t="s">
        <v>195</v>
      </c>
      <c r="H136" s="116" t="s">
        <v>198</v>
      </c>
    </row>
    <row r="137" spans="2:8" ht="15" customHeight="1">
      <c r="B137" s="233"/>
      <c r="C137" s="122" t="s">
        <v>430</v>
      </c>
      <c r="D137" s="115">
        <v>75</v>
      </c>
      <c r="E137" s="115" t="s">
        <v>197</v>
      </c>
      <c r="F137" s="115">
        <v>694.22</v>
      </c>
      <c r="G137" s="115" t="s">
        <v>195</v>
      </c>
      <c r="H137" s="116" t="s">
        <v>196</v>
      </c>
    </row>
    <row r="138" spans="2:8" ht="15" customHeight="1">
      <c r="B138" s="233"/>
      <c r="C138" s="122" t="s">
        <v>430</v>
      </c>
      <c r="D138" s="115">
        <v>63</v>
      </c>
      <c r="E138" s="115" t="s">
        <v>197</v>
      </c>
      <c r="F138" s="115">
        <v>100</v>
      </c>
      <c r="G138" s="115" t="s">
        <v>195</v>
      </c>
      <c r="H138" s="116" t="s">
        <v>196</v>
      </c>
    </row>
    <row r="139" spans="2:8" ht="15" customHeight="1" thickBot="1">
      <c r="B139" s="234"/>
      <c r="C139" s="135" t="s">
        <v>430</v>
      </c>
      <c r="D139" s="136" t="s">
        <v>432</v>
      </c>
      <c r="E139" s="136" t="s">
        <v>200</v>
      </c>
      <c r="F139" s="136">
        <v>2800</v>
      </c>
      <c r="G139" s="136" t="s">
        <v>195</v>
      </c>
      <c r="H139" s="137" t="s">
        <v>433</v>
      </c>
    </row>
    <row r="140" spans="2:8" ht="15" customHeight="1">
      <c r="B140" s="243" t="s">
        <v>225</v>
      </c>
      <c r="C140" s="121" t="s">
        <v>430</v>
      </c>
      <c r="D140" s="113">
        <v>110</v>
      </c>
      <c r="E140" s="113" t="s">
        <v>197</v>
      </c>
      <c r="F140" s="113">
        <v>211</v>
      </c>
      <c r="G140" s="113" t="s">
        <v>195</v>
      </c>
      <c r="H140" s="114" t="s">
        <v>198</v>
      </c>
    </row>
    <row r="141" spans="2:8" ht="15" customHeight="1">
      <c r="B141" s="238"/>
      <c r="C141" s="122" t="s">
        <v>430</v>
      </c>
      <c r="D141" s="115">
        <v>75</v>
      </c>
      <c r="E141" s="115" t="s">
        <v>200</v>
      </c>
      <c r="F141" s="115">
        <v>2297</v>
      </c>
      <c r="G141" s="115" t="s">
        <v>195</v>
      </c>
      <c r="H141" s="116" t="s">
        <v>198</v>
      </c>
    </row>
    <row r="142" spans="2:8" ht="15" customHeight="1">
      <c r="B142" s="238"/>
      <c r="C142" s="122" t="s">
        <v>430</v>
      </c>
      <c r="D142" s="115">
        <v>63</v>
      </c>
      <c r="E142" s="115" t="s">
        <v>197</v>
      </c>
      <c r="F142" s="115">
        <v>4144.3999999999996</v>
      </c>
      <c r="G142" s="115" t="s">
        <v>195</v>
      </c>
      <c r="H142" s="116" t="s">
        <v>198</v>
      </c>
    </row>
    <row r="143" spans="2:8" ht="15" customHeight="1">
      <c r="B143" s="238"/>
      <c r="C143" s="122" t="s">
        <v>430</v>
      </c>
      <c r="D143" s="115">
        <v>50</v>
      </c>
      <c r="E143" s="115" t="s">
        <v>197</v>
      </c>
      <c r="F143" s="115">
        <v>15300</v>
      </c>
      <c r="G143" s="115" t="s">
        <v>195</v>
      </c>
      <c r="H143" s="116" t="s">
        <v>198</v>
      </c>
    </row>
    <row r="144" spans="2:8" ht="15" customHeight="1">
      <c r="B144" s="238"/>
      <c r="C144" s="122" t="s">
        <v>430</v>
      </c>
      <c r="D144" s="115">
        <v>63</v>
      </c>
      <c r="E144" s="115" t="s">
        <v>197</v>
      </c>
      <c r="F144" s="115">
        <v>3008.5</v>
      </c>
      <c r="G144" s="115" t="s">
        <v>195</v>
      </c>
      <c r="H144" s="116" t="s">
        <v>198</v>
      </c>
    </row>
    <row r="145" spans="2:8" ht="15" customHeight="1">
      <c r="B145" s="238"/>
      <c r="C145" s="122" t="s">
        <v>430</v>
      </c>
      <c r="D145" s="115">
        <v>50</v>
      </c>
      <c r="E145" s="115" t="s">
        <v>197</v>
      </c>
      <c r="F145" s="115">
        <v>1551</v>
      </c>
      <c r="G145" s="115" t="s">
        <v>195</v>
      </c>
      <c r="H145" s="116" t="s">
        <v>198</v>
      </c>
    </row>
    <row r="146" spans="2:8" ht="15" customHeight="1">
      <c r="B146" s="238"/>
      <c r="C146" s="122" t="s">
        <v>430</v>
      </c>
      <c r="D146" s="115">
        <v>90</v>
      </c>
      <c r="E146" s="115" t="s">
        <v>200</v>
      </c>
      <c r="F146" s="115">
        <v>734</v>
      </c>
      <c r="G146" s="115" t="s">
        <v>195</v>
      </c>
      <c r="H146" s="116" t="s">
        <v>198</v>
      </c>
    </row>
    <row r="147" spans="2:8" ht="15" customHeight="1">
      <c r="B147" s="238"/>
      <c r="C147" s="122" t="s">
        <v>430</v>
      </c>
      <c r="D147" s="115">
        <v>75</v>
      </c>
      <c r="E147" s="115" t="s">
        <v>200</v>
      </c>
      <c r="F147" s="115">
        <v>140</v>
      </c>
      <c r="G147" s="115" t="s">
        <v>195</v>
      </c>
      <c r="H147" s="116" t="s">
        <v>198</v>
      </c>
    </row>
    <row r="148" spans="2:8" ht="15" customHeight="1">
      <c r="B148" s="238"/>
      <c r="C148" s="122" t="s">
        <v>430</v>
      </c>
      <c r="D148" s="115">
        <v>63</v>
      </c>
      <c r="E148" s="115" t="s">
        <v>200</v>
      </c>
      <c r="F148" s="115">
        <v>3206</v>
      </c>
      <c r="G148" s="115" t="s">
        <v>195</v>
      </c>
      <c r="H148" s="116" t="s">
        <v>198</v>
      </c>
    </row>
    <row r="149" spans="2:8" ht="15" customHeight="1">
      <c r="B149" s="238"/>
      <c r="C149" s="122" t="s">
        <v>430</v>
      </c>
      <c r="D149" s="115">
        <v>80</v>
      </c>
      <c r="E149" s="115" t="s">
        <v>194</v>
      </c>
      <c r="F149" s="115">
        <v>2033</v>
      </c>
      <c r="G149" s="115" t="s">
        <v>195</v>
      </c>
      <c r="H149" s="116" t="s">
        <v>196</v>
      </c>
    </row>
    <row r="150" spans="2:8" ht="15" customHeight="1">
      <c r="B150" s="238"/>
      <c r="C150" s="122" t="s">
        <v>430</v>
      </c>
      <c r="D150" s="115">
        <v>100</v>
      </c>
      <c r="E150" s="115" t="s">
        <v>194</v>
      </c>
      <c r="F150" s="115">
        <v>113</v>
      </c>
      <c r="G150" s="115" t="s">
        <v>195</v>
      </c>
      <c r="H150" s="116" t="s">
        <v>196</v>
      </c>
    </row>
    <row r="151" spans="2:8" ht="15" customHeight="1">
      <c r="B151" s="238"/>
      <c r="C151" s="122" t="s">
        <v>430</v>
      </c>
      <c r="D151" s="115">
        <v>50</v>
      </c>
      <c r="E151" s="115" t="s">
        <v>200</v>
      </c>
      <c r="F151" s="115">
        <v>150</v>
      </c>
      <c r="G151" s="115" t="s">
        <v>195</v>
      </c>
      <c r="H151" s="116" t="s">
        <v>198</v>
      </c>
    </row>
    <row r="152" spans="2:8" ht="15" customHeight="1" thickBot="1">
      <c r="B152" s="239"/>
      <c r="C152" s="123" t="s">
        <v>430</v>
      </c>
      <c r="D152" s="117">
        <v>50</v>
      </c>
      <c r="E152" s="117" t="s">
        <v>200</v>
      </c>
      <c r="F152" s="117">
        <v>150</v>
      </c>
      <c r="G152" s="117" t="s">
        <v>195</v>
      </c>
      <c r="H152" s="118" t="s">
        <v>198</v>
      </c>
    </row>
    <row r="153" spans="2:8" ht="15" customHeight="1">
      <c r="B153" s="233" t="s">
        <v>275</v>
      </c>
      <c r="C153" s="122" t="s">
        <v>430</v>
      </c>
      <c r="D153" s="115">
        <v>100</v>
      </c>
      <c r="E153" s="115" t="s">
        <v>194</v>
      </c>
      <c r="F153" s="115">
        <v>113</v>
      </c>
      <c r="G153" s="115" t="s">
        <v>434</v>
      </c>
      <c r="H153" s="116" t="s">
        <v>196</v>
      </c>
    </row>
    <row r="154" spans="2:8" ht="15" customHeight="1">
      <c r="B154" s="233"/>
      <c r="C154" s="122" t="s">
        <v>430</v>
      </c>
      <c r="D154" s="115">
        <v>80</v>
      </c>
      <c r="E154" s="115" t="s">
        <v>194</v>
      </c>
      <c r="F154" s="115">
        <v>2023</v>
      </c>
      <c r="G154" s="115" t="s">
        <v>434</v>
      </c>
      <c r="H154" s="116" t="s">
        <v>196</v>
      </c>
    </row>
    <row r="155" spans="2:8" ht="15" customHeight="1">
      <c r="B155" s="233"/>
      <c r="C155" s="122" t="s">
        <v>430</v>
      </c>
      <c r="D155" s="115">
        <v>60</v>
      </c>
      <c r="E155" s="115" t="s">
        <v>194</v>
      </c>
      <c r="F155" s="115">
        <v>1282</v>
      </c>
      <c r="G155" s="115" t="s">
        <v>434</v>
      </c>
      <c r="H155" s="116" t="s">
        <v>196</v>
      </c>
    </row>
    <row r="156" spans="2:8" ht="15" customHeight="1">
      <c r="B156" s="233"/>
      <c r="C156" s="122" t="s">
        <v>430</v>
      </c>
      <c r="D156" s="115">
        <v>110</v>
      </c>
      <c r="E156" s="115" t="s">
        <v>197</v>
      </c>
      <c r="F156" s="115">
        <v>2320</v>
      </c>
      <c r="G156" s="115" t="s">
        <v>434</v>
      </c>
      <c r="H156" s="116" t="s">
        <v>196</v>
      </c>
    </row>
    <row r="157" spans="2:8" ht="15" customHeight="1">
      <c r="B157" s="233"/>
      <c r="C157" s="122" t="s">
        <v>430</v>
      </c>
      <c r="D157" s="115">
        <v>90</v>
      </c>
      <c r="E157" s="115" t="s">
        <v>197</v>
      </c>
      <c r="F157" s="115">
        <v>1292</v>
      </c>
      <c r="G157" s="115" t="s">
        <v>434</v>
      </c>
      <c r="H157" s="116" t="s">
        <v>196</v>
      </c>
    </row>
    <row r="158" spans="2:8" ht="15" customHeight="1">
      <c r="B158" s="233"/>
      <c r="C158" s="122" t="s">
        <v>430</v>
      </c>
      <c r="D158" s="115">
        <v>75</v>
      </c>
      <c r="E158" s="115" t="s">
        <v>197</v>
      </c>
      <c r="F158" s="115">
        <v>1162</v>
      </c>
      <c r="G158" s="115" t="s">
        <v>434</v>
      </c>
      <c r="H158" s="116" t="s">
        <v>196</v>
      </c>
    </row>
    <row r="159" spans="2:8" ht="15" customHeight="1">
      <c r="B159" s="233"/>
      <c r="C159" s="122" t="s">
        <v>430</v>
      </c>
      <c r="D159" s="115">
        <v>63</v>
      </c>
      <c r="E159" s="115" t="s">
        <v>197</v>
      </c>
      <c r="F159" s="115">
        <v>3073</v>
      </c>
      <c r="G159" s="115" t="s">
        <v>434</v>
      </c>
      <c r="H159" s="116" t="s">
        <v>196</v>
      </c>
    </row>
    <row r="160" spans="2:8" ht="15" customHeight="1">
      <c r="B160" s="233"/>
      <c r="C160" s="122" t="s">
        <v>430</v>
      </c>
      <c r="D160" s="115">
        <v>75</v>
      </c>
      <c r="E160" s="115" t="s">
        <v>200</v>
      </c>
      <c r="F160" s="115">
        <v>2145</v>
      </c>
      <c r="G160" s="115" t="s">
        <v>434</v>
      </c>
      <c r="H160" s="116" t="s">
        <v>196</v>
      </c>
    </row>
    <row r="161" spans="2:8" ht="15" customHeight="1">
      <c r="B161" s="233"/>
      <c r="C161" s="122" t="s">
        <v>430</v>
      </c>
      <c r="D161" s="115">
        <v>63</v>
      </c>
      <c r="E161" s="115" t="s">
        <v>200</v>
      </c>
      <c r="F161" s="115">
        <v>1611</v>
      </c>
      <c r="G161" s="115" t="s">
        <v>434</v>
      </c>
      <c r="H161" s="116" t="s">
        <v>196</v>
      </c>
    </row>
    <row r="162" spans="2:8" ht="15" customHeight="1">
      <c r="B162" s="233"/>
      <c r="C162" s="122" t="s">
        <v>430</v>
      </c>
      <c r="D162" s="115">
        <v>50</v>
      </c>
      <c r="E162" s="115" t="s">
        <v>200</v>
      </c>
      <c r="F162" s="115">
        <v>6453</v>
      </c>
      <c r="G162" s="115" t="s">
        <v>434</v>
      </c>
      <c r="H162" s="116" t="s">
        <v>196</v>
      </c>
    </row>
    <row r="163" spans="2:8" ht="15" customHeight="1">
      <c r="B163" s="233"/>
      <c r="C163" s="122" t="s">
        <v>430</v>
      </c>
      <c r="D163" s="115">
        <v>40</v>
      </c>
      <c r="E163" s="115" t="s">
        <v>200</v>
      </c>
      <c r="F163" s="115">
        <v>50</v>
      </c>
      <c r="G163" s="115" t="s">
        <v>434</v>
      </c>
      <c r="H163" s="116" t="s">
        <v>196</v>
      </c>
    </row>
    <row r="164" spans="2:8" ht="15" customHeight="1">
      <c r="B164" s="233"/>
      <c r="C164" s="122" t="s">
        <v>430</v>
      </c>
      <c r="D164" s="115">
        <v>110</v>
      </c>
      <c r="E164" s="115" t="s">
        <v>197</v>
      </c>
      <c r="F164" s="115">
        <v>2320</v>
      </c>
      <c r="G164" s="115" t="s">
        <v>434</v>
      </c>
      <c r="H164" s="116" t="s">
        <v>433</v>
      </c>
    </row>
    <row r="165" spans="2:8" ht="15" customHeight="1">
      <c r="B165" s="233"/>
      <c r="C165" s="122" t="s">
        <v>430</v>
      </c>
      <c r="D165" s="115" t="s">
        <v>432</v>
      </c>
      <c r="E165" s="115" t="s">
        <v>432</v>
      </c>
      <c r="F165" s="115">
        <v>2982</v>
      </c>
      <c r="G165" s="115" t="s">
        <v>434</v>
      </c>
      <c r="H165" s="116" t="s">
        <v>196</v>
      </c>
    </row>
    <row r="166" spans="2:8" ht="15" customHeight="1">
      <c r="B166" s="233"/>
      <c r="C166" s="122" t="s">
        <v>430</v>
      </c>
      <c r="D166" s="115" t="s">
        <v>432</v>
      </c>
      <c r="E166" s="115" t="s">
        <v>432</v>
      </c>
      <c r="F166" s="115">
        <v>5198</v>
      </c>
      <c r="G166" s="115" t="s">
        <v>434</v>
      </c>
      <c r="H166" s="116" t="s">
        <v>196</v>
      </c>
    </row>
    <row r="167" spans="2:8" ht="15" customHeight="1">
      <c r="B167" s="233"/>
      <c r="C167" s="122" t="s">
        <v>430</v>
      </c>
      <c r="D167" s="115">
        <v>150</v>
      </c>
      <c r="E167" s="115" t="s">
        <v>199</v>
      </c>
      <c r="F167" s="115">
        <v>19.399999999999999</v>
      </c>
      <c r="G167" s="115" t="s">
        <v>434</v>
      </c>
      <c r="H167" s="116" t="s">
        <v>198</v>
      </c>
    </row>
    <row r="168" spans="2:8" ht="15" customHeight="1">
      <c r="B168" s="233"/>
      <c r="C168" s="122" t="s">
        <v>430</v>
      </c>
      <c r="D168" s="115">
        <v>63</v>
      </c>
      <c r="E168" s="115" t="s">
        <v>200</v>
      </c>
      <c r="F168" s="115">
        <v>2921</v>
      </c>
      <c r="G168" s="115" t="s">
        <v>434</v>
      </c>
      <c r="H168" s="116" t="s">
        <v>433</v>
      </c>
    </row>
    <row r="169" spans="2:8" ht="15" customHeight="1">
      <c r="B169" s="233"/>
      <c r="C169" s="122" t="s">
        <v>430</v>
      </c>
      <c r="D169" s="115">
        <v>75</v>
      </c>
      <c r="E169" s="115" t="s">
        <v>200</v>
      </c>
      <c r="F169" s="115">
        <v>1158</v>
      </c>
      <c r="G169" s="115" t="s">
        <v>434</v>
      </c>
      <c r="H169" s="116" t="s">
        <v>433</v>
      </c>
    </row>
    <row r="170" spans="2:8" ht="15" customHeight="1">
      <c r="B170" s="233"/>
      <c r="C170" s="122" t="s">
        <v>430</v>
      </c>
      <c r="D170" s="115">
        <v>60</v>
      </c>
      <c r="E170" s="115" t="s">
        <v>194</v>
      </c>
      <c r="F170" s="115">
        <v>1554</v>
      </c>
      <c r="G170" s="115" t="s">
        <v>434</v>
      </c>
      <c r="H170" s="116" t="s">
        <v>433</v>
      </c>
    </row>
    <row r="171" spans="2:8" ht="15" customHeight="1">
      <c r="B171" s="233"/>
      <c r="C171" s="122" t="s">
        <v>430</v>
      </c>
      <c r="D171" s="115">
        <v>80</v>
      </c>
      <c r="E171" s="115" t="s">
        <v>194</v>
      </c>
      <c r="F171" s="115">
        <v>2023</v>
      </c>
      <c r="G171" s="115" t="s">
        <v>434</v>
      </c>
      <c r="H171" s="116" t="s">
        <v>433</v>
      </c>
    </row>
    <row r="172" spans="2:8" ht="15" customHeight="1">
      <c r="B172" s="233"/>
      <c r="C172" s="122" t="s">
        <v>430</v>
      </c>
      <c r="D172" s="115">
        <v>100</v>
      </c>
      <c r="E172" s="115" t="s">
        <v>194</v>
      </c>
      <c r="F172" s="115">
        <v>113</v>
      </c>
      <c r="G172" s="115" t="s">
        <v>434</v>
      </c>
      <c r="H172" s="116" t="s">
        <v>433</v>
      </c>
    </row>
    <row r="173" spans="2:8" ht="15" customHeight="1">
      <c r="B173" s="233"/>
      <c r="C173" s="122" t="s">
        <v>430</v>
      </c>
      <c r="D173" s="115">
        <v>50</v>
      </c>
      <c r="E173" s="115" t="s">
        <v>200</v>
      </c>
      <c r="F173" s="115">
        <v>70</v>
      </c>
      <c r="G173" s="115" t="s">
        <v>434</v>
      </c>
      <c r="H173" s="116" t="s">
        <v>198</v>
      </c>
    </row>
    <row r="174" spans="2:8" ht="15" customHeight="1" thickBot="1">
      <c r="B174" s="234"/>
      <c r="C174" s="135" t="s">
        <v>430</v>
      </c>
      <c r="D174" s="136">
        <v>50</v>
      </c>
      <c r="E174" s="136" t="s">
        <v>200</v>
      </c>
      <c r="F174" s="136">
        <v>67</v>
      </c>
      <c r="G174" s="115" t="s">
        <v>434</v>
      </c>
      <c r="H174" s="137" t="s">
        <v>198</v>
      </c>
    </row>
    <row r="175" spans="2:8" ht="15" customHeight="1">
      <c r="B175" s="232" t="s">
        <v>397</v>
      </c>
      <c r="C175" s="121" t="s">
        <v>430</v>
      </c>
      <c r="D175" s="113">
        <v>125</v>
      </c>
      <c r="E175" s="113" t="s">
        <v>197</v>
      </c>
      <c r="F175" s="113">
        <v>1677</v>
      </c>
      <c r="G175" s="113" t="s">
        <v>434</v>
      </c>
      <c r="H175" s="114" t="s">
        <v>198</v>
      </c>
    </row>
    <row r="176" spans="2:8" ht="15" customHeight="1">
      <c r="B176" s="233"/>
      <c r="C176" s="122" t="s">
        <v>430</v>
      </c>
      <c r="D176" s="115">
        <v>110</v>
      </c>
      <c r="E176" s="115" t="s">
        <v>197</v>
      </c>
      <c r="F176" s="115">
        <v>782</v>
      </c>
      <c r="G176" s="115" t="s">
        <v>434</v>
      </c>
      <c r="H176" s="116" t="s">
        <v>198</v>
      </c>
    </row>
    <row r="177" spans="2:8" ht="15" customHeight="1">
      <c r="B177" s="233"/>
      <c r="C177" s="122" t="s">
        <v>430</v>
      </c>
      <c r="D177" s="115">
        <v>90</v>
      </c>
      <c r="E177" s="115" t="s">
        <v>200</v>
      </c>
      <c r="F177" s="115">
        <v>271</v>
      </c>
      <c r="G177" s="115" t="s">
        <v>434</v>
      </c>
      <c r="H177" s="116" t="s">
        <v>198</v>
      </c>
    </row>
    <row r="178" spans="2:8" ht="15" customHeight="1">
      <c r="B178" s="233"/>
      <c r="C178" s="122" t="s">
        <v>430</v>
      </c>
      <c r="D178" s="115">
        <v>75</v>
      </c>
      <c r="E178" s="115" t="s">
        <v>200</v>
      </c>
      <c r="F178" s="115">
        <v>3436</v>
      </c>
      <c r="G178" s="115" t="s">
        <v>434</v>
      </c>
      <c r="H178" s="116" t="s">
        <v>198</v>
      </c>
    </row>
    <row r="179" spans="2:8" ht="15" customHeight="1">
      <c r="B179" s="233"/>
      <c r="C179" s="122" t="s">
        <v>430</v>
      </c>
      <c r="D179" s="115">
        <v>63</v>
      </c>
      <c r="E179" s="115" t="s">
        <v>200</v>
      </c>
      <c r="F179" s="115">
        <v>12272</v>
      </c>
      <c r="G179" s="115" t="s">
        <v>434</v>
      </c>
      <c r="H179" s="116" t="s">
        <v>198</v>
      </c>
    </row>
    <row r="180" spans="2:8" ht="15" customHeight="1">
      <c r="B180" s="233"/>
      <c r="C180" s="122" t="s">
        <v>430</v>
      </c>
      <c r="D180" s="115">
        <v>50</v>
      </c>
      <c r="E180" s="115" t="s">
        <v>200</v>
      </c>
      <c r="F180" s="115">
        <v>4519</v>
      </c>
      <c r="G180" s="115" t="s">
        <v>434</v>
      </c>
      <c r="H180" s="116" t="s">
        <v>198</v>
      </c>
    </row>
    <row r="181" spans="2:8" ht="15" customHeight="1" thickBot="1">
      <c r="B181" s="234"/>
      <c r="C181" s="123" t="s">
        <v>430</v>
      </c>
      <c r="D181" s="117">
        <v>60</v>
      </c>
      <c r="E181" s="117" t="s">
        <v>199</v>
      </c>
      <c r="F181" s="117">
        <v>186</v>
      </c>
      <c r="G181" s="117" t="s">
        <v>434</v>
      </c>
      <c r="H181" s="118" t="s">
        <v>198</v>
      </c>
    </row>
    <row r="182" spans="2:8" ht="15" customHeight="1">
      <c r="B182" s="238" t="s">
        <v>362</v>
      </c>
      <c r="C182" s="121" t="s">
        <v>430</v>
      </c>
      <c r="D182" s="113">
        <v>63</v>
      </c>
      <c r="E182" s="113" t="s">
        <v>200</v>
      </c>
      <c r="F182" s="113">
        <v>78</v>
      </c>
      <c r="G182" s="113" t="s">
        <v>195</v>
      </c>
      <c r="H182" s="114" t="s">
        <v>198</v>
      </c>
    </row>
    <row r="183" spans="2:8" ht="15" customHeight="1">
      <c r="B183" s="238"/>
      <c r="C183" s="122" t="s">
        <v>430</v>
      </c>
      <c r="D183" s="115">
        <v>63</v>
      </c>
      <c r="E183" s="115" t="s">
        <v>200</v>
      </c>
      <c r="F183" s="115">
        <v>140</v>
      </c>
      <c r="G183" s="115" t="s">
        <v>195</v>
      </c>
      <c r="H183" s="116" t="s">
        <v>198</v>
      </c>
    </row>
    <row r="184" spans="2:8" ht="15" customHeight="1">
      <c r="B184" s="238"/>
      <c r="C184" s="122" t="s">
        <v>430</v>
      </c>
      <c r="D184" s="115">
        <v>63</v>
      </c>
      <c r="E184" s="115" t="s">
        <v>200</v>
      </c>
      <c r="F184" s="115">
        <v>1500</v>
      </c>
      <c r="G184" s="115" t="s">
        <v>195</v>
      </c>
      <c r="H184" s="116" t="s">
        <v>198</v>
      </c>
    </row>
    <row r="185" spans="2:8" ht="15" customHeight="1">
      <c r="B185" s="238"/>
      <c r="C185" s="122" t="s">
        <v>430</v>
      </c>
      <c r="D185" s="115">
        <v>63</v>
      </c>
      <c r="E185" s="115" t="s">
        <v>200</v>
      </c>
      <c r="F185" s="115">
        <v>600</v>
      </c>
      <c r="G185" s="115" t="s">
        <v>195</v>
      </c>
      <c r="H185" s="116" t="s">
        <v>198</v>
      </c>
    </row>
    <row r="186" spans="2:8" ht="15" customHeight="1">
      <c r="B186" s="238"/>
      <c r="C186" s="122" t="s">
        <v>430</v>
      </c>
      <c r="D186" s="115">
        <v>200</v>
      </c>
      <c r="E186" s="115" t="s">
        <v>197</v>
      </c>
      <c r="F186" s="115">
        <v>4163.13</v>
      </c>
      <c r="G186" s="115" t="s">
        <v>434</v>
      </c>
      <c r="H186" s="116" t="s">
        <v>196</v>
      </c>
    </row>
    <row r="187" spans="2:8" ht="15" customHeight="1">
      <c r="B187" s="238"/>
      <c r="C187" s="122" t="s">
        <v>430</v>
      </c>
      <c r="D187" s="115">
        <v>160</v>
      </c>
      <c r="E187" s="115" t="s">
        <v>197</v>
      </c>
      <c r="F187" s="115">
        <v>4599.41</v>
      </c>
      <c r="G187" s="115" t="s">
        <v>434</v>
      </c>
      <c r="H187" s="116" t="s">
        <v>196</v>
      </c>
    </row>
    <row r="188" spans="2:8" ht="15" customHeight="1">
      <c r="B188" s="238"/>
      <c r="C188" s="122" t="s">
        <v>430</v>
      </c>
      <c r="D188" s="115">
        <v>110</v>
      </c>
      <c r="E188" s="115" t="s">
        <v>197</v>
      </c>
      <c r="F188" s="115">
        <v>2435.1999999999998</v>
      </c>
      <c r="G188" s="115" t="s">
        <v>434</v>
      </c>
      <c r="H188" s="116" t="s">
        <v>196</v>
      </c>
    </row>
    <row r="189" spans="2:8" ht="15" customHeight="1">
      <c r="B189" s="238"/>
      <c r="C189" s="122" t="s">
        <v>430</v>
      </c>
      <c r="D189" s="115">
        <v>90</v>
      </c>
      <c r="E189" s="115" t="s">
        <v>200</v>
      </c>
      <c r="F189" s="115">
        <v>2799.63</v>
      </c>
      <c r="G189" s="115" t="s">
        <v>434</v>
      </c>
      <c r="H189" s="116" t="s">
        <v>196</v>
      </c>
    </row>
    <row r="190" spans="2:8" ht="15" customHeight="1">
      <c r="B190" s="238"/>
      <c r="C190" s="122" t="s">
        <v>430</v>
      </c>
      <c r="D190" s="115">
        <v>75</v>
      </c>
      <c r="E190" s="115" t="s">
        <v>200</v>
      </c>
      <c r="F190" s="115">
        <v>6904.63</v>
      </c>
      <c r="G190" s="115" t="s">
        <v>434</v>
      </c>
      <c r="H190" s="116" t="s">
        <v>196</v>
      </c>
    </row>
    <row r="191" spans="2:8" ht="15" customHeight="1">
      <c r="B191" s="238"/>
      <c r="C191" s="122" t="s">
        <v>430</v>
      </c>
      <c r="D191" s="115">
        <v>63</v>
      </c>
      <c r="E191" s="115" t="s">
        <v>200</v>
      </c>
      <c r="F191" s="115">
        <v>1269.28</v>
      </c>
      <c r="G191" s="115" t="s">
        <v>434</v>
      </c>
      <c r="H191" s="116" t="s">
        <v>196</v>
      </c>
    </row>
    <row r="192" spans="2:8" ht="15" customHeight="1">
      <c r="B192" s="238"/>
      <c r="C192" s="122" t="s">
        <v>430</v>
      </c>
      <c r="D192" s="115">
        <v>50</v>
      </c>
      <c r="E192" s="115" t="s">
        <v>200</v>
      </c>
      <c r="F192" s="115">
        <v>1933.42</v>
      </c>
      <c r="G192" s="115" t="s">
        <v>434</v>
      </c>
      <c r="H192" s="116" t="s">
        <v>196</v>
      </c>
    </row>
    <row r="193" spans="2:8" ht="15" customHeight="1">
      <c r="B193" s="238"/>
      <c r="C193" s="122" t="s">
        <v>430</v>
      </c>
      <c r="D193" s="115">
        <v>63</v>
      </c>
      <c r="E193" s="115" t="s">
        <v>200</v>
      </c>
      <c r="F193" s="115">
        <v>120</v>
      </c>
      <c r="G193" s="115" t="s">
        <v>195</v>
      </c>
      <c r="H193" s="116" t="s">
        <v>198</v>
      </c>
    </row>
    <row r="194" spans="2:8" ht="15" customHeight="1" thickBot="1">
      <c r="B194" s="238"/>
      <c r="C194" s="123" t="s">
        <v>430</v>
      </c>
      <c r="D194" s="117">
        <v>50</v>
      </c>
      <c r="E194" s="117" t="s">
        <v>200</v>
      </c>
      <c r="F194" s="117">
        <v>102</v>
      </c>
      <c r="G194" s="117" t="s">
        <v>195</v>
      </c>
      <c r="H194" s="118" t="s">
        <v>198</v>
      </c>
    </row>
    <row r="195" spans="2:8" ht="15" customHeight="1">
      <c r="B195" s="232" t="s">
        <v>247</v>
      </c>
      <c r="C195" s="138" t="s">
        <v>430</v>
      </c>
      <c r="D195" s="139">
        <v>225</v>
      </c>
      <c r="E195" s="139" t="s">
        <v>197</v>
      </c>
      <c r="F195" s="139">
        <v>4565.28</v>
      </c>
      <c r="G195" s="139" t="s">
        <v>195</v>
      </c>
      <c r="H195" s="140" t="s">
        <v>198</v>
      </c>
    </row>
    <row r="196" spans="2:8" ht="15" customHeight="1">
      <c r="B196" s="233"/>
      <c r="C196" s="122" t="s">
        <v>430</v>
      </c>
      <c r="D196" s="115">
        <v>160</v>
      </c>
      <c r="E196" s="115" t="s">
        <v>197</v>
      </c>
      <c r="F196" s="115">
        <v>2880</v>
      </c>
      <c r="G196" s="115" t="s">
        <v>195</v>
      </c>
      <c r="H196" s="116" t="s">
        <v>198</v>
      </c>
    </row>
    <row r="197" spans="2:8" ht="15" customHeight="1">
      <c r="B197" s="233"/>
      <c r="C197" s="122" t="s">
        <v>430</v>
      </c>
      <c r="D197" s="115">
        <v>315</v>
      </c>
      <c r="E197" s="115" t="s">
        <v>197</v>
      </c>
      <c r="F197" s="115">
        <v>320</v>
      </c>
      <c r="G197" s="115" t="s">
        <v>195</v>
      </c>
      <c r="H197" s="116" t="s">
        <v>198</v>
      </c>
    </row>
    <row r="198" spans="2:8" ht="15" customHeight="1">
      <c r="B198" s="233"/>
      <c r="C198" s="122" t="s">
        <v>430</v>
      </c>
      <c r="D198" s="115">
        <v>140</v>
      </c>
      <c r="E198" s="115" t="s">
        <v>197</v>
      </c>
      <c r="F198" s="115">
        <v>1924</v>
      </c>
      <c r="G198" s="115" t="s">
        <v>195</v>
      </c>
      <c r="H198" s="116" t="s">
        <v>198</v>
      </c>
    </row>
    <row r="199" spans="2:8" ht="15" customHeight="1">
      <c r="B199" s="233"/>
      <c r="C199" s="122" t="s">
        <v>430</v>
      </c>
      <c r="D199" s="115">
        <v>110</v>
      </c>
      <c r="E199" s="115" t="s">
        <v>197</v>
      </c>
      <c r="F199" s="115">
        <v>740.32</v>
      </c>
      <c r="G199" s="115" t="s">
        <v>195</v>
      </c>
      <c r="H199" s="116" t="s">
        <v>198</v>
      </c>
    </row>
    <row r="200" spans="2:8" ht="15" customHeight="1">
      <c r="B200" s="233"/>
      <c r="C200" s="122" t="s">
        <v>430</v>
      </c>
      <c r="D200" s="115">
        <v>90</v>
      </c>
      <c r="E200" s="115" t="s">
        <v>197</v>
      </c>
      <c r="F200" s="115">
        <v>2251</v>
      </c>
      <c r="G200" s="115" t="s">
        <v>195</v>
      </c>
      <c r="H200" s="116" t="s">
        <v>198</v>
      </c>
    </row>
    <row r="201" spans="2:8" ht="15" customHeight="1">
      <c r="B201" s="233"/>
      <c r="C201" s="122" t="s">
        <v>430</v>
      </c>
      <c r="D201" s="115">
        <v>90</v>
      </c>
      <c r="E201" s="115" t="s">
        <v>197</v>
      </c>
      <c r="F201" s="115">
        <v>1416.64</v>
      </c>
      <c r="G201" s="115" t="s">
        <v>195</v>
      </c>
      <c r="H201" s="116" t="s">
        <v>198</v>
      </c>
    </row>
    <row r="202" spans="2:8" ht="15" customHeight="1">
      <c r="B202" s="233"/>
      <c r="C202" s="122" t="s">
        <v>430</v>
      </c>
      <c r="D202" s="115">
        <v>75</v>
      </c>
      <c r="E202" s="115" t="s">
        <v>197</v>
      </c>
      <c r="F202" s="115">
        <v>2878.53</v>
      </c>
      <c r="G202" s="115" t="s">
        <v>195</v>
      </c>
      <c r="H202" s="116" t="s">
        <v>198</v>
      </c>
    </row>
    <row r="203" spans="2:8" ht="15" customHeight="1">
      <c r="B203" s="233"/>
      <c r="C203" s="122" t="s">
        <v>430</v>
      </c>
      <c r="D203" s="115">
        <v>63</v>
      </c>
      <c r="E203" s="115" t="s">
        <v>197</v>
      </c>
      <c r="F203" s="115">
        <v>18882.55</v>
      </c>
      <c r="G203" s="115" t="s">
        <v>195</v>
      </c>
      <c r="H203" s="116" t="s">
        <v>198</v>
      </c>
    </row>
    <row r="204" spans="2:8" ht="15" customHeight="1">
      <c r="B204" s="233"/>
      <c r="C204" s="122" t="s">
        <v>430</v>
      </c>
      <c r="D204" s="115">
        <v>125</v>
      </c>
      <c r="E204" s="115" t="s">
        <v>199</v>
      </c>
      <c r="F204" s="115">
        <v>147.19999999999999</v>
      </c>
      <c r="G204" s="115" t="s">
        <v>195</v>
      </c>
      <c r="H204" s="116" t="s">
        <v>198</v>
      </c>
    </row>
    <row r="205" spans="2:8" ht="15" customHeight="1" thickBot="1">
      <c r="B205" s="234"/>
      <c r="C205" s="135" t="s">
        <v>430</v>
      </c>
      <c r="D205" s="136">
        <v>80</v>
      </c>
      <c r="E205" s="136" t="s">
        <v>199</v>
      </c>
      <c r="F205" s="136">
        <v>101.25</v>
      </c>
      <c r="G205" s="136" t="s">
        <v>195</v>
      </c>
      <c r="H205" s="137" t="s">
        <v>198</v>
      </c>
    </row>
    <row r="206" spans="2:8" ht="15" customHeight="1">
      <c r="B206" s="232" t="s">
        <v>398</v>
      </c>
      <c r="C206" s="141" t="s">
        <v>430</v>
      </c>
      <c r="D206" s="142">
        <v>75</v>
      </c>
      <c r="E206" s="142" t="s">
        <v>197</v>
      </c>
      <c r="F206" s="142">
        <v>279</v>
      </c>
      <c r="G206" s="142" t="s">
        <v>204</v>
      </c>
      <c r="H206" s="143" t="s">
        <v>196</v>
      </c>
    </row>
    <row r="207" spans="2:8" ht="15" customHeight="1">
      <c r="B207" s="233"/>
      <c r="C207" s="144" t="s">
        <v>430</v>
      </c>
      <c r="D207" s="131">
        <v>125</v>
      </c>
      <c r="E207" s="131" t="s">
        <v>197</v>
      </c>
      <c r="F207" s="131">
        <v>290</v>
      </c>
      <c r="G207" s="131" t="s">
        <v>195</v>
      </c>
      <c r="H207" s="145" t="s">
        <v>196</v>
      </c>
    </row>
    <row r="208" spans="2:8" ht="15" customHeight="1">
      <c r="B208" s="233"/>
      <c r="C208" s="144" t="s">
        <v>430</v>
      </c>
      <c r="D208" s="131">
        <v>110</v>
      </c>
      <c r="E208" s="131" t="s">
        <v>197</v>
      </c>
      <c r="F208" s="131">
        <v>232</v>
      </c>
      <c r="G208" s="131" t="s">
        <v>195</v>
      </c>
      <c r="H208" s="145" t="s">
        <v>196</v>
      </c>
    </row>
    <row r="209" spans="2:8" ht="15" customHeight="1">
      <c r="B209" s="233"/>
      <c r="C209" s="144" t="s">
        <v>430</v>
      </c>
      <c r="D209" s="131">
        <v>90</v>
      </c>
      <c r="E209" s="131" t="s">
        <v>197</v>
      </c>
      <c r="F209" s="131">
        <v>2491</v>
      </c>
      <c r="G209" s="131" t="s">
        <v>195</v>
      </c>
      <c r="H209" s="145" t="s">
        <v>196</v>
      </c>
    </row>
    <row r="210" spans="2:8" ht="15" customHeight="1">
      <c r="B210" s="233"/>
      <c r="C210" s="144" t="s">
        <v>430</v>
      </c>
      <c r="D210" s="131">
        <v>75</v>
      </c>
      <c r="E210" s="131" t="s">
        <v>197</v>
      </c>
      <c r="F210" s="131">
        <v>1668</v>
      </c>
      <c r="G210" s="131" t="s">
        <v>195</v>
      </c>
      <c r="H210" s="145" t="s">
        <v>196</v>
      </c>
    </row>
    <row r="211" spans="2:8" ht="15" customHeight="1">
      <c r="B211" s="233"/>
      <c r="C211" s="144" t="s">
        <v>430</v>
      </c>
      <c r="D211" s="131">
        <v>63</v>
      </c>
      <c r="E211" s="131" t="s">
        <v>197</v>
      </c>
      <c r="F211" s="131">
        <v>2278.4</v>
      </c>
      <c r="G211" s="131" t="s">
        <v>195</v>
      </c>
      <c r="H211" s="145" t="s">
        <v>196</v>
      </c>
    </row>
    <row r="212" spans="2:8" ht="15" customHeight="1">
      <c r="B212" s="233"/>
      <c r="C212" s="144" t="s">
        <v>430</v>
      </c>
      <c r="D212" s="131">
        <v>50</v>
      </c>
      <c r="E212" s="131" t="s">
        <v>200</v>
      </c>
      <c r="F212" s="131">
        <v>4958.5</v>
      </c>
      <c r="G212" s="131" t="s">
        <v>195</v>
      </c>
      <c r="H212" s="145" t="s">
        <v>196</v>
      </c>
    </row>
    <row r="213" spans="2:8" ht="15" customHeight="1" thickBot="1">
      <c r="B213" s="233"/>
      <c r="C213" s="146" t="s">
        <v>430</v>
      </c>
      <c r="D213" s="147">
        <v>110</v>
      </c>
      <c r="E213" s="147" t="s">
        <v>197</v>
      </c>
      <c r="F213" s="147">
        <v>12</v>
      </c>
      <c r="G213" s="147" t="s">
        <v>195</v>
      </c>
      <c r="H213" s="148" t="s">
        <v>198</v>
      </c>
    </row>
    <row r="214" spans="2:8" ht="15" customHeight="1">
      <c r="B214" s="229" t="s">
        <v>300</v>
      </c>
      <c r="C214" s="141" t="s">
        <v>430</v>
      </c>
      <c r="D214" s="142">
        <v>75</v>
      </c>
      <c r="E214" s="142" t="s">
        <v>197</v>
      </c>
      <c r="F214" s="142">
        <v>617</v>
      </c>
      <c r="G214" s="131" t="s">
        <v>195</v>
      </c>
      <c r="H214" s="143" t="s">
        <v>196</v>
      </c>
    </row>
    <row r="215" spans="2:8" ht="15" customHeight="1">
      <c r="B215" s="230"/>
      <c r="C215" s="144" t="s">
        <v>430</v>
      </c>
      <c r="D215" s="131">
        <v>160</v>
      </c>
      <c r="E215" s="131" t="s">
        <v>197</v>
      </c>
      <c r="F215" s="131">
        <v>344</v>
      </c>
      <c r="G215" s="131" t="s">
        <v>195</v>
      </c>
      <c r="H215" s="145" t="s">
        <v>196</v>
      </c>
    </row>
    <row r="216" spans="2:8" ht="15" customHeight="1">
      <c r="B216" s="230"/>
      <c r="C216" s="144" t="s">
        <v>430</v>
      </c>
      <c r="D216" s="131">
        <v>80</v>
      </c>
      <c r="E216" s="131" t="s">
        <v>199</v>
      </c>
      <c r="F216" s="131">
        <v>415</v>
      </c>
      <c r="G216" s="131" t="s">
        <v>195</v>
      </c>
      <c r="H216" s="145" t="s">
        <v>196</v>
      </c>
    </row>
    <row r="217" spans="2:8" ht="15" customHeight="1">
      <c r="B217" s="230"/>
      <c r="C217" s="144" t="s">
        <v>430</v>
      </c>
      <c r="D217" s="131">
        <v>60</v>
      </c>
      <c r="E217" s="131" t="s">
        <v>199</v>
      </c>
      <c r="F217" s="131">
        <v>13</v>
      </c>
      <c r="G217" s="131" t="s">
        <v>195</v>
      </c>
      <c r="H217" s="145" t="s">
        <v>196</v>
      </c>
    </row>
    <row r="218" spans="2:8" ht="15" customHeight="1">
      <c r="B218" s="230"/>
      <c r="C218" s="144" t="s">
        <v>430</v>
      </c>
      <c r="D218" s="131">
        <v>150</v>
      </c>
      <c r="E218" s="131" t="s">
        <v>194</v>
      </c>
      <c r="F218" s="131">
        <v>299</v>
      </c>
      <c r="G218" s="131" t="s">
        <v>195</v>
      </c>
      <c r="H218" s="145" t="s">
        <v>196</v>
      </c>
    </row>
    <row r="219" spans="2:8" ht="15" customHeight="1">
      <c r="B219" s="230"/>
      <c r="C219" s="144" t="s">
        <v>430</v>
      </c>
      <c r="D219" s="131">
        <v>100</v>
      </c>
      <c r="E219" s="131" t="s">
        <v>194</v>
      </c>
      <c r="F219" s="131">
        <v>4408</v>
      </c>
      <c r="G219" s="131" t="s">
        <v>195</v>
      </c>
      <c r="H219" s="145" t="s">
        <v>196</v>
      </c>
    </row>
    <row r="220" spans="2:8" ht="15" customHeight="1">
      <c r="B220" s="230"/>
      <c r="C220" s="144" t="s">
        <v>430</v>
      </c>
      <c r="D220" s="131">
        <v>80</v>
      </c>
      <c r="E220" s="131" t="s">
        <v>194</v>
      </c>
      <c r="F220" s="131">
        <v>3709</v>
      </c>
      <c r="G220" s="131" t="s">
        <v>195</v>
      </c>
      <c r="H220" s="145" t="s">
        <v>196</v>
      </c>
    </row>
    <row r="221" spans="2:8" ht="15" customHeight="1">
      <c r="B221" s="230"/>
      <c r="C221" s="144" t="s">
        <v>430</v>
      </c>
      <c r="D221" s="131">
        <v>60</v>
      </c>
      <c r="E221" s="131" t="s">
        <v>194</v>
      </c>
      <c r="F221" s="131">
        <v>15499</v>
      </c>
      <c r="G221" s="131" t="s">
        <v>195</v>
      </c>
      <c r="H221" s="145" t="s">
        <v>196</v>
      </c>
    </row>
    <row r="222" spans="2:8" ht="15" customHeight="1">
      <c r="B222" s="230"/>
      <c r="C222" s="144" t="s">
        <v>430</v>
      </c>
      <c r="D222" s="131">
        <v>200</v>
      </c>
      <c r="E222" s="131" t="s">
        <v>197</v>
      </c>
      <c r="F222" s="131">
        <v>285</v>
      </c>
      <c r="G222" s="131" t="s">
        <v>195</v>
      </c>
      <c r="H222" s="145" t="s">
        <v>196</v>
      </c>
    </row>
    <row r="223" spans="2:8" ht="15" customHeight="1">
      <c r="B223" s="230"/>
      <c r="C223" s="144" t="s">
        <v>430</v>
      </c>
      <c r="D223" s="131">
        <v>160</v>
      </c>
      <c r="E223" s="131" t="s">
        <v>197</v>
      </c>
      <c r="F223" s="131">
        <v>155</v>
      </c>
      <c r="G223" s="131" t="s">
        <v>195</v>
      </c>
      <c r="H223" s="145" t="s">
        <v>196</v>
      </c>
    </row>
    <row r="224" spans="2:8" ht="15" customHeight="1">
      <c r="B224" s="230"/>
      <c r="C224" s="144" t="s">
        <v>430</v>
      </c>
      <c r="D224" s="131">
        <v>110</v>
      </c>
      <c r="E224" s="131" t="s">
        <v>197</v>
      </c>
      <c r="F224" s="131">
        <v>773</v>
      </c>
      <c r="G224" s="131" t="s">
        <v>195</v>
      </c>
      <c r="H224" s="145" t="s">
        <v>196</v>
      </c>
    </row>
    <row r="225" spans="2:8" ht="15" customHeight="1">
      <c r="B225" s="230"/>
      <c r="C225" s="144" t="s">
        <v>430</v>
      </c>
      <c r="D225" s="131">
        <v>90</v>
      </c>
      <c r="E225" s="131" t="s">
        <v>197</v>
      </c>
      <c r="F225" s="131">
        <v>218</v>
      </c>
      <c r="G225" s="131" t="s">
        <v>195</v>
      </c>
      <c r="H225" s="145" t="s">
        <v>196</v>
      </c>
    </row>
    <row r="226" spans="2:8" ht="15" customHeight="1">
      <c r="B226" s="230"/>
      <c r="C226" s="144" t="s">
        <v>430</v>
      </c>
      <c r="D226" s="131">
        <v>75</v>
      </c>
      <c r="E226" s="131" t="s">
        <v>197</v>
      </c>
      <c r="F226" s="131">
        <v>221</v>
      </c>
      <c r="G226" s="131" t="s">
        <v>195</v>
      </c>
      <c r="H226" s="145" t="s">
        <v>196</v>
      </c>
    </row>
    <row r="227" spans="2:8" ht="15" customHeight="1">
      <c r="B227" s="230"/>
      <c r="C227" s="144" t="s">
        <v>430</v>
      </c>
      <c r="D227" s="131">
        <v>63</v>
      </c>
      <c r="E227" s="131" t="s">
        <v>197</v>
      </c>
      <c r="F227" s="131">
        <v>8226</v>
      </c>
      <c r="G227" s="131" t="s">
        <v>195</v>
      </c>
      <c r="H227" s="145" t="s">
        <v>196</v>
      </c>
    </row>
    <row r="228" spans="2:8" ht="15" customHeight="1">
      <c r="B228" s="230"/>
      <c r="C228" s="144" t="s">
        <v>430</v>
      </c>
      <c r="D228" s="131">
        <v>63</v>
      </c>
      <c r="E228" s="131" t="s">
        <v>200</v>
      </c>
      <c r="F228" s="131">
        <v>852</v>
      </c>
      <c r="G228" s="131" t="s">
        <v>195</v>
      </c>
      <c r="H228" s="145" t="s">
        <v>196</v>
      </c>
    </row>
    <row r="229" spans="2:8" ht="15" customHeight="1">
      <c r="B229" s="230"/>
      <c r="C229" s="144" t="s">
        <v>430</v>
      </c>
      <c r="D229" s="131">
        <v>50</v>
      </c>
      <c r="E229" s="131" t="s">
        <v>200</v>
      </c>
      <c r="F229" s="131">
        <v>6432</v>
      </c>
      <c r="G229" s="131" t="s">
        <v>195</v>
      </c>
      <c r="H229" s="145" t="s">
        <v>196</v>
      </c>
    </row>
    <row r="230" spans="2:8" ht="15" customHeight="1">
      <c r="B230" s="230"/>
      <c r="C230" s="144" t="s">
        <v>430</v>
      </c>
      <c r="D230" s="131">
        <v>140</v>
      </c>
      <c r="E230" s="131" t="s">
        <v>197</v>
      </c>
      <c r="F230" s="131">
        <v>230</v>
      </c>
      <c r="G230" s="131" t="s">
        <v>195</v>
      </c>
      <c r="H230" s="145" t="s">
        <v>435</v>
      </c>
    </row>
    <row r="231" spans="2:8" ht="15" customHeight="1">
      <c r="B231" s="230"/>
      <c r="C231" s="144" t="s">
        <v>430</v>
      </c>
      <c r="D231" s="131">
        <v>63</v>
      </c>
      <c r="E231" s="131" t="s">
        <v>197</v>
      </c>
      <c r="F231" s="131">
        <v>1131.5</v>
      </c>
      <c r="G231" s="131" t="s">
        <v>195</v>
      </c>
      <c r="H231" s="145" t="s">
        <v>196</v>
      </c>
    </row>
    <row r="232" spans="2:8" ht="15" customHeight="1">
      <c r="B232" s="230"/>
      <c r="C232" s="144" t="s">
        <v>430</v>
      </c>
      <c r="D232" s="131">
        <v>75</v>
      </c>
      <c r="E232" s="131" t="s">
        <v>197</v>
      </c>
      <c r="F232" s="131">
        <v>221</v>
      </c>
      <c r="G232" s="131" t="s">
        <v>195</v>
      </c>
      <c r="H232" s="145" t="s">
        <v>196</v>
      </c>
    </row>
    <row r="233" spans="2:8" ht="15" customHeight="1">
      <c r="B233" s="230"/>
      <c r="C233" s="144" t="s">
        <v>430</v>
      </c>
      <c r="D233" s="131">
        <v>90</v>
      </c>
      <c r="E233" s="131" t="s">
        <v>197</v>
      </c>
      <c r="F233" s="131">
        <v>218</v>
      </c>
      <c r="G233" s="131" t="s">
        <v>195</v>
      </c>
      <c r="H233" s="145" t="s">
        <v>435</v>
      </c>
    </row>
    <row r="234" spans="2:8" ht="15" customHeight="1">
      <c r="B234" s="230"/>
      <c r="C234" s="144" t="s">
        <v>430</v>
      </c>
      <c r="D234" s="131">
        <v>63</v>
      </c>
      <c r="E234" s="131" t="s">
        <v>200</v>
      </c>
      <c r="F234" s="131">
        <v>4560.5</v>
      </c>
      <c r="G234" s="131" t="s">
        <v>195</v>
      </c>
      <c r="H234" s="145" t="s">
        <v>435</v>
      </c>
    </row>
    <row r="235" spans="2:8" ht="15" customHeight="1">
      <c r="B235" s="230"/>
      <c r="C235" s="144" t="s">
        <v>430</v>
      </c>
      <c r="D235" s="131">
        <v>63</v>
      </c>
      <c r="E235" s="131" t="s">
        <v>200</v>
      </c>
      <c r="F235" s="131">
        <v>10117</v>
      </c>
      <c r="G235" s="131" t="s">
        <v>195</v>
      </c>
      <c r="H235" s="145" t="s">
        <v>435</v>
      </c>
    </row>
    <row r="236" spans="2:8" ht="15" customHeight="1" thickBot="1">
      <c r="B236" s="231"/>
      <c r="C236" s="149" t="s">
        <v>430</v>
      </c>
      <c r="D236" s="150">
        <v>60</v>
      </c>
      <c r="E236" s="150" t="s">
        <v>199</v>
      </c>
      <c r="F236" s="150">
        <v>30</v>
      </c>
      <c r="G236" s="150" t="s">
        <v>195</v>
      </c>
      <c r="H236" s="151" t="s">
        <v>435</v>
      </c>
    </row>
    <row r="237" spans="2:8" ht="15" customHeight="1">
      <c r="B237" s="232" t="s">
        <v>399</v>
      </c>
      <c r="C237" s="144" t="s">
        <v>430</v>
      </c>
      <c r="D237" s="131">
        <v>200</v>
      </c>
      <c r="E237" s="131" t="s">
        <v>194</v>
      </c>
      <c r="F237" s="131">
        <v>418</v>
      </c>
      <c r="G237" s="131" t="s">
        <v>195</v>
      </c>
      <c r="H237" s="145" t="s">
        <v>196</v>
      </c>
    </row>
    <row r="238" spans="2:8" ht="15" customHeight="1">
      <c r="B238" s="233"/>
      <c r="C238" s="144" t="s">
        <v>430</v>
      </c>
      <c r="D238" s="131">
        <v>150</v>
      </c>
      <c r="E238" s="131" t="s">
        <v>194</v>
      </c>
      <c r="F238" s="131">
        <v>503</v>
      </c>
      <c r="G238" s="131" t="s">
        <v>195</v>
      </c>
      <c r="H238" s="145" t="s">
        <v>196</v>
      </c>
    </row>
    <row r="239" spans="2:8" ht="15" customHeight="1">
      <c r="B239" s="233"/>
      <c r="C239" s="144" t="s">
        <v>430</v>
      </c>
      <c r="D239" s="131">
        <v>100</v>
      </c>
      <c r="E239" s="131" t="s">
        <v>194</v>
      </c>
      <c r="F239" s="131">
        <v>1519</v>
      </c>
      <c r="G239" s="131" t="s">
        <v>195</v>
      </c>
      <c r="H239" s="145" t="s">
        <v>196</v>
      </c>
    </row>
    <row r="240" spans="2:8" ht="15" customHeight="1">
      <c r="B240" s="233"/>
      <c r="C240" s="144" t="s">
        <v>430</v>
      </c>
      <c r="D240" s="131">
        <v>80</v>
      </c>
      <c r="E240" s="131" t="s">
        <v>194</v>
      </c>
      <c r="F240" s="131">
        <v>3898</v>
      </c>
      <c r="G240" s="131" t="s">
        <v>195</v>
      </c>
      <c r="H240" s="145" t="s">
        <v>196</v>
      </c>
    </row>
    <row r="241" spans="2:8" ht="15" customHeight="1">
      <c r="B241" s="233"/>
      <c r="C241" s="144" t="s">
        <v>430</v>
      </c>
      <c r="D241" s="131">
        <v>60</v>
      </c>
      <c r="E241" s="131" t="s">
        <v>194</v>
      </c>
      <c r="F241" s="131">
        <v>9820</v>
      </c>
      <c r="G241" s="131" t="s">
        <v>195</v>
      </c>
      <c r="H241" s="145" t="s">
        <v>196</v>
      </c>
    </row>
    <row r="242" spans="2:8" ht="15" customHeight="1">
      <c r="B242" s="233"/>
      <c r="C242" s="144" t="s">
        <v>430</v>
      </c>
      <c r="D242" s="131">
        <v>90</v>
      </c>
      <c r="E242" s="131" t="s">
        <v>197</v>
      </c>
      <c r="F242" s="131">
        <v>49</v>
      </c>
      <c r="G242" s="131" t="s">
        <v>195</v>
      </c>
      <c r="H242" s="145" t="s">
        <v>196</v>
      </c>
    </row>
    <row r="243" spans="2:8" ht="15" customHeight="1">
      <c r="B243" s="233"/>
      <c r="C243" s="144" t="s">
        <v>430</v>
      </c>
      <c r="D243" s="131">
        <v>75</v>
      </c>
      <c r="E243" s="131" t="s">
        <v>197</v>
      </c>
      <c r="F243" s="131">
        <v>684</v>
      </c>
      <c r="G243" s="131" t="s">
        <v>195</v>
      </c>
      <c r="H243" s="145" t="s">
        <v>196</v>
      </c>
    </row>
    <row r="244" spans="2:8" ht="15" customHeight="1">
      <c r="B244" s="233"/>
      <c r="C244" s="144" t="s">
        <v>430</v>
      </c>
      <c r="D244" s="131">
        <v>63</v>
      </c>
      <c r="E244" s="131" t="s">
        <v>197</v>
      </c>
      <c r="F244" s="131">
        <v>569</v>
      </c>
      <c r="G244" s="131" t="s">
        <v>195</v>
      </c>
      <c r="H244" s="145" t="s">
        <v>196</v>
      </c>
    </row>
    <row r="245" spans="2:8" ht="15" customHeight="1">
      <c r="B245" s="233"/>
      <c r="C245" s="144" t="s">
        <v>430</v>
      </c>
      <c r="D245" s="131">
        <v>63</v>
      </c>
      <c r="E245" s="131" t="s">
        <v>200</v>
      </c>
      <c r="F245" s="131">
        <v>240</v>
      </c>
      <c r="G245" s="131" t="s">
        <v>195</v>
      </c>
      <c r="H245" s="145" t="s">
        <v>196</v>
      </c>
    </row>
    <row r="246" spans="2:8" ht="15" customHeight="1">
      <c r="B246" s="233"/>
      <c r="C246" s="144" t="s">
        <v>430</v>
      </c>
      <c r="D246" s="131">
        <v>50</v>
      </c>
      <c r="E246" s="131" t="s">
        <v>200</v>
      </c>
      <c r="F246" s="131">
        <v>6869</v>
      </c>
      <c r="G246" s="131" t="s">
        <v>195</v>
      </c>
      <c r="H246" s="145" t="s">
        <v>196</v>
      </c>
    </row>
    <row r="247" spans="2:8" ht="15" customHeight="1">
      <c r="B247" s="233"/>
      <c r="C247" s="144" t="s">
        <v>430</v>
      </c>
      <c r="D247" s="131">
        <v>60</v>
      </c>
      <c r="E247" s="131" t="s">
        <v>200</v>
      </c>
      <c r="F247" s="131">
        <v>3515</v>
      </c>
      <c r="G247" s="131" t="s">
        <v>195</v>
      </c>
      <c r="H247" s="145" t="s">
        <v>196</v>
      </c>
    </row>
    <row r="248" spans="2:8" ht="15" customHeight="1">
      <c r="B248" s="233"/>
      <c r="C248" s="144" t="s">
        <v>430</v>
      </c>
      <c r="D248" s="131">
        <v>63</v>
      </c>
      <c r="E248" s="131" t="s">
        <v>200</v>
      </c>
      <c r="F248" s="131">
        <v>2165</v>
      </c>
      <c r="G248" s="131" t="s">
        <v>195</v>
      </c>
      <c r="H248" s="145" t="s">
        <v>196</v>
      </c>
    </row>
    <row r="249" spans="2:8" ht="15" customHeight="1">
      <c r="B249" s="233"/>
      <c r="C249" s="144" t="s">
        <v>430</v>
      </c>
      <c r="D249" s="131">
        <v>140</v>
      </c>
      <c r="E249" s="131" t="s">
        <v>197</v>
      </c>
      <c r="F249" s="131">
        <v>4651</v>
      </c>
      <c r="G249" s="131" t="s">
        <v>195</v>
      </c>
      <c r="H249" s="145" t="s">
        <v>198</v>
      </c>
    </row>
    <row r="250" spans="2:8" ht="15" customHeight="1">
      <c r="B250" s="233"/>
      <c r="C250" s="144" t="s">
        <v>430</v>
      </c>
      <c r="D250" s="131">
        <v>50</v>
      </c>
      <c r="E250" s="131" t="s">
        <v>200</v>
      </c>
      <c r="F250" s="131">
        <v>4091</v>
      </c>
      <c r="G250" s="131" t="s">
        <v>195</v>
      </c>
      <c r="H250" s="145" t="s">
        <v>196</v>
      </c>
    </row>
    <row r="251" spans="2:8" ht="15" customHeight="1">
      <c r="B251" s="233"/>
      <c r="C251" s="144" t="s">
        <v>430</v>
      </c>
      <c r="D251" s="131">
        <v>140</v>
      </c>
      <c r="E251" s="131" t="s">
        <v>197</v>
      </c>
      <c r="F251" s="131">
        <v>2550</v>
      </c>
      <c r="G251" s="131" t="s">
        <v>195</v>
      </c>
      <c r="H251" s="145" t="s">
        <v>196</v>
      </c>
    </row>
    <row r="252" spans="2:8" ht="15" customHeight="1">
      <c r="B252" s="233"/>
      <c r="C252" s="144" t="s">
        <v>430</v>
      </c>
      <c r="D252" s="131">
        <v>63</v>
      </c>
      <c r="E252" s="131" t="s">
        <v>197</v>
      </c>
      <c r="F252" s="131">
        <v>1410</v>
      </c>
      <c r="G252" s="131" t="s">
        <v>195</v>
      </c>
      <c r="H252" s="145" t="s">
        <v>198</v>
      </c>
    </row>
    <row r="253" spans="2:8" ht="15" customHeight="1" thickBot="1">
      <c r="B253" s="234"/>
      <c r="C253" s="149" t="s">
        <v>430</v>
      </c>
      <c r="D253" s="150">
        <v>63</v>
      </c>
      <c r="E253" s="150" t="s">
        <v>200</v>
      </c>
      <c r="F253" s="150">
        <v>700</v>
      </c>
      <c r="G253" s="150" t="s">
        <v>195</v>
      </c>
      <c r="H253" s="151" t="s">
        <v>198</v>
      </c>
    </row>
    <row r="254" spans="2:8" ht="15" customHeight="1">
      <c r="B254" s="232" t="s">
        <v>236</v>
      </c>
      <c r="C254" s="144" t="s">
        <v>430</v>
      </c>
      <c r="D254" s="131">
        <v>63</v>
      </c>
      <c r="E254" s="131" t="s">
        <v>200</v>
      </c>
      <c r="F254" s="131">
        <v>22374</v>
      </c>
      <c r="G254" s="131" t="s">
        <v>195</v>
      </c>
      <c r="H254" s="145" t="s">
        <v>198</v>
      </c>
    </row>
    <row r="255" spans="2:8" ht="15" customHeight="1">
      <c r="B255" s="233"/>
      <c r="C255" s="144" t="s">
        <v>430</v>
      </c>
      <c r="D255" s="131">
        <v>75</v>
      </c>
      <c r="E255" s="131" t="s">
        <v>200</v>
      </c>
      <c r="F255" s="131">
        <v>3737</v>
      </c>
      <c r="G255" s="131" t="s">
        <v>195</v>
      </c>
      <c r="H255" s="145" t="s">
        <v>198</v>
      </c>
    </row>
    <row r="256" spans="2:8" ht="15" customHeight="1">
      <c r="B256" s="233"/>
      <c r="C256" s="144" t="s">
        <v>430</v>
      </c>
      <c r="D256" s="131">
        <v>63</v>
      </c>
      <c r="E256" s="131" t="s">
        <v>200</v>
      </c>
      <c r="F256" s="131">
        <v>15587.5</v>
      </c>
      <c r="G256" s="131" t="s">
        <v>195</v>
      </c>
      <c r="H256" s="145" t="s">
        <v>198</v>
      </c>
    </row>
    <row r="257" spans="2:8" ht="15" customHeight="1">
      <c r="B257" s="233"/>
      <c r="C257" s="144" t="s">
        <v>430</v>
      </c>
      <c r="D257" s="131">
        <v>75</v>
      </c>
      <c r="E257" s="131" t="s">
        <v>200</v>
      </c>
      <c r="F257" s="131">
        <v>813</v>
      </c>
      <c r="G257" s="131" t="s">
        <v>195</v>
      </c>
      <c r="H257" s="145" t="s">
        <v>198</v>
      </c>
    </row>
    <row r="258" spans="2:8" ht="15" customHeight="1" thickBot="1">
      <c r="B258" s="234"/>
      <c r="C258" s="149" t="s">
        <v>430</v>
      </c>
      <c r="D258" s="150">
        <v>90</v>
      </c>
      <c r="E258" s="150" t="s">
        <v>200</v>
      </c>
      <c r="F258" s="150">
        <v>983</v>
      </c>
      <c r="G258" s="150" t="s">
        <v>195</v>
      </c>
      <c r="H258" s="151" t="s">
        <v>198</v>
      </c>
    </row>
    <row r="259" spans="2:8" ht="15" customHeight="1">
      <c r="B259" s="232" t="s">
        <v>208</v>
      </c>
      <c r="C259" s="152" t="s">
        <v>430</v>
      </c>
      <c r="D259" s="130">
        <v>110</v>
      </c>
      <c r="E259" s="130" t="s">
        <v>197</v>
      </c>
      <c r="F259" s="130">
        <v>2640</v>
      </c>
      <c r="G259" s="131" t="s">
        <v>195</v>
      </c>
      <c r="H259" s="153" t="s">
        <v>198</v>
      </c>
    </row>
    <row r="260" spans="2:8" ht="15" customHeight="1">
      <c r="B260" s="233"/>
      <c r="C260" s="144" t="s">
        <v>430</v>
      </c>
      <c r="D260" s="131">
        <v>90</v>
      </c>
      <c r="E260" s="131" t="s">
        <v>197</v>
      </c>
      <c r="F260" s="131">
        <v>3403.5</v>
      </c>
      <c r="G260" s="131" t="s">
        <v>195</v>
      </c>
      <c r="H260" s="145" t="s">
        <v>198</v>
      </c>
    </row>
    <row r="261" spans="2:8" ht="15" customHeight="1">
      <c r="B261" s="233"/>
      <c r="C261" s="144" t="s">
        <v>430</v>
      </c>
      <c r="D261" s="131">
        <v>75</v>
      </c>
      <c r="E261" s="131" t="s">
        <v>197</v>
      </c>
      <c r="F261" s="131">
        <v>1901</v>
      </c>
      <c r="G261" s="131" t="s">
        <v>195</v>
      </c>
      <c r="H261" s="145" t="s">
        <v>198</v>
      </c>
    </row>
    <row r="262" spans="2:8" ht="15" customHeight="1">
      <c r="B262" s="233"/>
      <c r="C262" s="144" t="s">
        <v>430</v>
      </c>
      <c r="D262" s="131">
        <v>63</v>
      </c>
      <c r="E262" s="131" t="s">
        <v>200</v>
      </c>
      <c r="F262" s="131">
        <v>6665</v>
      </c>
      <c r="G262" s="131" t="s">
        <v>195</v>
      </c>
      <c r="H262" s="145" t="s">
        <v>198</v>
      </c>
    </row>
    <row r="263" spans="2:8" ht="15" customHeight="1">
      <c r="B263" s="233"/>
      <c r="C263" s="144" t="s">
        <v>430</v>
      </c>
      <c r="D263" s="131">
        <v>80</v>
      </c>
      <c r="E263" s="131" t="s">
        <v>200</v>
      </c>
      <c r="F263" s="131">
        <v>25.6</v>
      </c>
      <c r="G263" s="131" t="s">
        <v>195</v>
      </c>
      <c r="H263" s="145" t="s">
        <v>198</v>
      </c>
    </row>
    <row r="264" spans="2:8" ht="15" customHeight="1">
      <c r="B264" s="233"/>
      <c r="C264" s="144" t="s">
        <v>430</v>
      </c>
      <c r="D264" s="131">
        <v>60</v>
      </c>
      <c r="E264" s="131" t="s">
        <v>200</v>
      </c>
      <c r="F264" s="131">
        <v>1630.4</v>
      </c>
      <c r="G264" s="131" t="s">
        <v>195</v>
      </c>
      <c r="H264" s="145" t="s">
        <v>198</v>
      </c>
    </row>
    <row r="265" spans="2:8" ht="15" customHeight="1">
      <c r="B265" s="233"/>
      <c r="C265" s="144" t="s">
        <v>430</v>
      </c>
      <c r="D265" s="131">
        <v>50</v>
      </c>
      <c r="E265" s="131" t="s">
        <v>200</v>
      </c>
      <c r="F265" s="131">
        <v>5038</v>
      </c>
      <c r="G265" s="131" t="s">
        <v>195</v>
      </c>
      <c r="H265" s="145" t="s">
        <v>198</v>
      </c>
    </row>
    <row r="266" spans="2:8" ht="15" customHeight="1">
      <c r="B266" s="233"/>
      <c r="C266" s="144" t="s">
        <v>430</v>
      </c>
      <c r="D266" s="131">
        <v>50</v>
      </c>
      <c r="E266" s="131" t="s">
        <v>197</v>
      </c>
      <c r="F266" s="131">
        <v>14974</v>
      </c>
      <c r="G266" s="131" t="s">
        <v>195</v>
      </c>
      <c r="H266" s="145" t="s">
        <v>196</v>
      </c>
    </row>
    <row r="267" spans="2:8" ht="15" customHeight="1">
      <c r="B267" s="233"/>
      <c r="C267" s="144" t="s">
        <v>430</v>
      </c>
      <c r="D267" s="131">
        <v>60</v>
      </c>
      <c r="E267" s="131" t="s">
        <v>197</v>
      </c>
      <c r="F267" s="131">
        <v>24042</v>
      </c>
      <c r="G267" s="131" t="s">
        <v>195</v>
      </c>
      <c r="H267" s="145" t="s">
        <v>196</v>
      </c>
    </row>
    <row r="268" spans="2:8" ht="15" customHeight="1">
      <c r="B268" s="233"/>
      <c r="C268" s="144" t="s">
        <v>430</v>
      </c>
      <c r="D268" s="131">
        <v>63</v>
      </c>
      <c r="E268" s="131" t="s">
        <v>194</v>
      </c>
      <c r="F268" s="131">
        <v>13070</v>
      </c>
      <c r="G268" s="131" t="s">
        <v>195</v>
      </c>
      <c r="H268" s="145" t="s">
        <v>196</v>
      </c>
    </row>
    <row r="269" spans="2:8" ht="15" customHeight="1">
      <c r="B269" s="233"/>
      <c r="C269" s="144" t="s">
        <v>430</v>
      </c>
      <c r="D269" s="131">
        <v>75</v>
      </c>
      <c r="E269" s="131" t="s">
        <v>197</v>
      </c>
      <c r="F269" s="131">
        <v>5258</v>
      </c>
      <c r="G269" s="131" t="s">
        <v>195</v>
      </c>
      <c r="H269" s="145" t="s">
        <v>196</v>
      </c>
    </row>
    <row r="270" spans="2:8" ht="15" customHeight="1">
      <c r="B270" s="233"/>
      <c r="C270" s="144" t="s">
        <v>430</v>
      </c>
      <c r="D270" s="131">
        <v>80</v>
      </c>
      <c r="E270" s="131" t="s">
        <v>194</v>
      </c>
      <c r="F270" s="131">
        <v>5079</v>
      </c>
      <c r="G270" s="131" t="s">
        <v>195</v>
      </c>
      <c r="H270" s="145" t="s">
        <v>196</v>
      </c>
    </row>
    <row r="271" spans="2:8" ht="15" customHeight="1">
      <c r="B271" s="233"/>
      <c r="C271" s="144" t="s">
        <v>430</v>
      </c>
      <c r="D271" s="131">
        <v>90</v>
      </c>
      <c r="E271" s="131" t="s">
        <v>197</v>
      </c>
      <c r="F271" s="131">
        <v>7067</v>
      </c>
      <c r="G271" s="131" t="s">
        <v>195</v>
      </c>
      <c r="H271" s="145" t="s">
        <v>196</v>
      </c>
    </row>
    <row r="272" spans="2:8" ht="15" customHeight="1">
      <c r="B272" s="233"/>
      <c r="C272" s="144" t="s">
        <v>430</v>
      </c>
      <c r="D272" s="131">
        <v>100</v>
      </c>
      <c r="E272" s="131" t="s">
        <v>194</v>
      </c>
      <c r="F272" s="131">
        <v>3718</v>
      </c>
      <c r="G272" s="131" t="s">
        <v>195</v>
      </c>
      <c r="H272" s="145" t="s">
        <v>196</v>
      </c>
    </row>
    <row r="273" spans="2:8" ht="15" customHeight="1">
      <c r="B273" s="233"/>
      <c r="C273" s="144" t="s">
        <v>430</v>
      </c>
      <c r="D273" s="131">
        <v>110</v>
      </c>
      <c r="E273" s="131" t="s">
        <v>197</v>
      </c>
      <c r="F273" s="131">
        <v>3048</v>
      </c>
      <c r="G273" s="131" t="s">
        <v>195</v>
      </c>
      <c r="H273" s="145" t="s">
        <v>196</v>
      </c>
    </row>
    <row r="274" spans="2:8" ht="15" customHeight="1">
      <c r="B274" s="233"/>
      <c r="C274" s="144" t="s">
        <v>430</v>
      </c>
      <c r="D274" s="131">
        <v>125</v>
      </c>
      <c r="E274" s="131" t="s">
        <v>197</v>
      </c>
      <c r="F274" s="131">
        <v>515</v>
      </c>
      <c r="G274" s="131" t="s">
        <v>195</v>
      </c>
      <c r="H274" s="145" t="s">
        <v>196</v>
      </c>
    </row>
    <row r="275" spans="2:8" ht="15" customHeight="1">
      <c r="B275" s="233"/>
      <c r="C275" s="144" t="s">
        <v>430</v>
      </c>
      <c r="D275" s="131">
        <v>63</v>
      </c>
      <c r="E275" s="131" t="s">
        <v>200</v>
      </c>
      <c r="F275" s="131">
        <v>85</v>
      </c>
      <c r="G275" s="131" t="s">
        <v>195</v>
      </c>
      <c r="H275" s="145" t="s">
        <v>198</v>
      </c>
    </row>
    <row r="276" spans="2:8" ht="15" customHeight="1">
      <c r="B276" s="233"/>
      <c r="C276" s="144" t="s">
        <v>430</v>
      </c>
      <c r="D276" s="131">
        <v>63</v>
      </c>
      <c r="E276" s="131" t="s">
        <v>200</v>
      </c>
      <c r="F276" s="131">
        <v>90</v>
      </c>
      <c r="G276" s="131" t="s">
        <v>195</v>
      </c>
      <c r="H276" s="145" t="s">
        <v>198</v>
      </c>
    </row>
    <row r="277" spans="2:8" ht="15" customHeight="1">
      <c r="B277" s="233"/>
      <c r="C277" s="144" t="s">
        <v>430</v>
      </c>
      <c r="D277" s="131">
        <v>50</v>
      </c>
      <c r="E277" s="131" t="s">
        <v>200</v>
      </c>
      <c r="F277" s="131">
        <v>70</v>
      </c>
      <c r="G277" s="131" t="s">
        <v>195</v>
      </c>
      <c r="H277" s="145" t="s">
        <v>198</v>
      </c>
    </row>
    <row r="278" spans="2:8" ht="15" customHeight="1">
      <c r="B278" s="233"/>
      <c r="C278" s="144" t="s">
        <v>430</v>
      </c>
      <c r="D278" s="131">
        <v>63</v>
      </c>
      <c r="E278" s="131" t="s">
        <v>200</v>
      </c>
      <c r="F278" s="131">
        <v>175</v>
      </c>
      <c r="G278" s="131" t="s">
        <v>195</v>
      </c>
      <c r="H278" s="145" t="s">
        <v>198</v>
      </c>
    </row>
    <row r="279" spans="2:8" ht="15" customHeight="1">
      <c r="B279" s="233"/>
      <c r="C279" s="144" t="s">
        <v>430</v>
      </c>
      <c r="D279" s="131">
        <v>63</v>
      </c>
      <c r="E279" s="131" t="s">
        <v>200</v>
      </c>
      <c r="F279" s="131">
        <v>116</v>
      </c>
      <c r="G279" s="131" t="s">
        <v>195</v>
      </c>
      <c r="H279" s="145" t="s">
        <v>198</v>
      </c>
    </row>
    <row r="280" spans="2:8" ht="15" customHeight="1">
      <c r="B280" s="233"/>
      <c r="C280" s="144" t="s">
        <v>430</v>
      </c>
      <c r="D280" s="131">
        <v>63</v>
      </c>
      <c r="E280" s="131" t="s">
        <v>200</v>
      </c>
      <c r="F280" s="131">
        <v>120</v>
      </c>
      <c r="G280" s="131" t="s">
        <v>195</v>
      </c>
      <c r="H280" s="145" t="s">
        <v>198</v>
      </c>
    </row>
    <row r="281" spans="2:8" ht="15" customHeight="1">
      <c r="B281" s="233"/>
      <c r="C281" s="144" t="s">
        <v>430</v>
      </c>
      <c r="D281" s="131">
        <v>50</v>
      </c>
      <c r="E281" s="131" t="s">
        <v>200</v>
      </c>
      <c r="F281" s="131">
        <v>113</v>
      </c>
      <c r="G281" s="131" t="s">
        <v>195</v>
      </c>
      <c r="H281" s="145" t="s">
        <v>198</v>
      </c>
    </row>
    <row r="282" spans="2:8" ht="15" customHeight="1">
      <c r="B282" s="233"/>
      <c r="C282" s="144" t="s">
        <v>430</v>
      </c>
      <c r="D282" s="131">
        <v>125</v>
      </c>
      <c r="E282" s="131" t="s">
        <v>194</v>
      </c>
      <c r="F282" s="131">
        <v>1521</v>
      </c>
      <c r="G282" s="131" t="s">
        <v>195</v>
      </c>
      <c r="H282" s="145" t="s">
        <v>196</v>
      </c>
    </row>
    <row r="283" spans="2:8" ht="15" customHeight="1">
      <c r="B283" s="233"/>
      <c r="C283" s="144" t="s">
        <v>430</v>
      </c>
      <c r="D283" s="131">
        <v>140</v>
      </c>
      <c r="E283" s="131" t="s">
        <v>197</v>
      </c>
      <c r="F283" s="131">
        <v>2443</v>
      </c>
      <c r="G283" s="131" t="s">
        <v>195</v>
      </c>
      <c r="H283" s="145" t="s">
        <v>196</v>
      </c>
    </row>
    <row r="284" spans="2:8" ht="15" customHeight="1">
      <c r="B284" s="233"/>
      <c r="C284" s="144" t="s">
        <v>430</v>
      </c>
      <c r="D284" s="131">
        <v>150</v>
      </c>
      <c r="E284" s="131" t="s">
        <v>197</v>
      </c>
      <c r="F284" s="131">
        <v>1820</v>
      </c>
      <c r="G284" s="131" t="s">
        <v>195</v>
      </c>
      <c r="H284" s="145" t="s">
        <v>196</v>
      </c>
    </row>
    <row r="285" spans="2:8" ht="15" customHeight="1">
      <c r="B285" s="233"/>
      <c r="C285" s="144" t="s">
        <v>430</v>
      </c>
      <c r="D285" s="131">
        <v>160</v>
      </c>
      <c r="E285" s="131" t="s">
        <v>197</v>
      </c>
      <c r="F285" s="131">
        <v>2800</v>
      </c>
      <c r="G285" s="131" t="s">
        <v>195</v>
      </c>
      <c r="H285" s="145" t="s">
        <v>196</v>
      </c>
    </row>
    <row r="286" spans="2:8" ht="15" customHeight="1">
      <c r="B286" s="233"/>
      <c r="C286" s="144" t="s">
        <v>430</v>
      </c>
      <c r="D286" s="131">
        <v>200</v>
      </c>
      <c r="E286" s="131" t="s">
        <v>197</v>
      </c>
      <c r="F286" s="131">
        <v>1692</v>
      </c>
      <c r="G286" s="131" t="s">
        <v>195</v>
      </c>
      <c r="H286" s="145" t="s">
        <v>196</v>
      </c>
    </row>
    <row r="287" spans="2:8" ht="15" customHeight="1">
      <c r="B287" s="233"/>
      <c r="C287" s="144" t="s">
        <v>430</v>
      </c>
      <c r="D287" s="131">
        <v>250</v>
      </c>
      <c r="E287" s="131" t="s">
        <v>199</v>
      </c>
      <c r="F287" s="131">
        <v>716</v>
      </c>
      <c r="G287" s="131" t="s">
        <v>195</v>
      </c>
      <c r="H287" s="145" t="s">
        <v>196</v>
      </c>
    </row>
    <row r="288" spans="2:8" ht="15" customHeight="1">
      <c r="B288" s="233"/>
      <c r="C288" s="144" t="s">
        <v>430</v>
      </c>
      <c r="D288" s="131">
        <v>315</v>
      </c>
      <c r="E288" s="131" t="s">
        <v>199</v>
      </c>
      <c r="F288" s="131">
        <v>413</v>
      </c>
      <c r="G288" s="131" t="s">
        <v>195</v>
      </c>
      <c r="H288" s="145" t="s">
        <v>196</v>
      </c>
    </row>
    <row r="289" spans="2:8" ht="15" customHeight="1">
      <c r="B289" s="233"/>
      <c r="C289" s="144" t="s">
        <v>430</v>
      </c>
      <c r="D289" s="131">
        <v>90</v>
      </c>
      <c r="E289" s="131" t="s">
        <v>200</v>
      </c>
      <c r="F289" s="131">
        <v>25.6</v>
      </c>
      <c r="G289" s="131" t="s">
        <v>195</v>
      </c>
      <c r="H289" s="145" t="s">
        <v>196</v>
      </c>
    </row>
    <row r="290" spans="2:8" ht="15" customHeight="1">
      <c r="B290" s="233"/>
      <c r="C290" s="144" t="s">
        <v>430</v>
      </c>
      <c r="D290" s="131">
        <v>75</v>
      </c>
      <c r="E290" s="131" t="s">
        <v>200</v>
      </c>
      <c r="F290" s="131">
        <v>1630</v>
      </c>
      <c r="G290" s="131" t="s">
        <v>195</v>
      </c>
      <c r="H290" s="145" t="s">
        <v>196</v>
      </c>
    </row>
    <row r="291" spans="2:8" ht="15" customHeight="1">
      <c r="B291" s="233"/>
      <c r="C291" s="144" t="s">
        <v>430</v>
      </c>
      <c r="D291" s="131">
        <v>63</v>
      </c>
      <c r="E291" s="131" t="s">
        <v>200</v>
      </c>
      <c r="F291" s="131">
        <v>5038</v>
      </c>
      <c r="G291" s="131" t="s">
        <v>195</v>
      </c>
      <c r="H291" s="145" t="s">
        <v>196</v>
      </c>
    </row>
    <row r="292" spans="2:8" ht="15" customHeight="1">
      <c r="B292" s="233"/>
      <c r="C292" s="144" t="s">
        <v>430</v>
      </c>
      <c r="D292" s="131">
        <v>160</v>
      </c>
      <c r="E292" s="131" t="s">
        <v>197</v>
      </c>
      <c r="F292" s="131">
        <v>2650</v>
      </c>
      <c r="G292" s="131" t="s">
        <v>195</v>
      </c>
      <c r="H292" s="145" t="s">
        <v>198</v>
      </c>
    </row>
    <row r="293" spans="2:8" ht="15" customHeight="1">
      <c r="B293" s="233"/>
      <c r="C293" s="144" t="s">
        <v>430</v>
      </c>
      <c r="D293" s="131">
        <v>125</v>
      </c>
      <c r="E293" s="131" t="s">
        <v>197</v>
      </c>
      <c r="F293" s="131">
        <v>1466.4</v>
      </c>
      <c r="G293" s="131" t="s">
        <v>195</v>
      </c>
      <c r="H293" s="145" t="s">
        <v>198</v>
      </c>
    </row>
    <row r="294" spans="2:8" ht="15" customHeight="1">
      <c r="B294" s="233"/>
      <c r="C294" s="144" t="s">
        <v>430</v>
      </c>
      <c r="D294" s="131">
        <v>110</v>
      </c>
      <c r="E294" s="131" t="s">
        <v>197</v>
      </c>
      <c r="F294" s="131">
        <v>2859.8</v>
      </c>
      <c r="G294" s="131" t="s">
        <v>195</v>
      </c>
      <c r="H294" s="145" t="s">
        <v>198</v>
      </c>
    </row>
    <row r="295" spans="2:8" ht="15" customHeight="1">
      <c r="B295" s="233"/>
      <c r="C295" s="144" t="s">
        <v>430</v>
      </c>
      <c r="D295" s="131">
        <v>90</v>
      </c>
      <c r="E295" s="131" t="s">
        <v>197</v>
      </c>
      <c r="F295" s="131">
        <v>3144.8</v>
      </c>
      <c r="G295" s="131" t="s">
        <v>195</v>
      </c>
      <c r="H295" s="145" t="s">
        <v>198</v>
      </c>
    </row>
    <row r="296" spans="2:8" ht="15" customHeight="1">
      <c r="B296" s="233"/>
      <c r="C296" s="144" t="s">
        <v>430</v>
      </c>
      <c r="D296" s="131">
        <v>250</v>
      </c>
      <c r="E296" s="131" t="s">
        <v>197</v>
      </c>
      <c r="F296" s="131">
        <v>3009.6</v>
      </c>
      <c r="G296" s="131" t="s">
        <v>195</v>
      </c>
      <c r="H296" s="145" t="s">
        <v>198</v>
      </c>
    </row>
    <row r="297" spans="2:8" ht="15" customHeight="1">
      <c r="B297" s="233"/>
      <c r="C297" s="144" t="s">
        <v>430</v>
      </c>
      <c r="D297" s="131">
        <v>50</v>
      </c>
      <c r="E297" s="131" t="s">
        <v>200</v>
      </c>
      <c r="F297" s="131">
        <v>2694.5</v>
      </c>
      <c r="G297" s="131" t="s">
        <v>195</v>
      </c>
      <c r="H297" s="145" t="s">
        <v>198</v>
      </c>
    </row>
    <row r="298" spans="2:8" ht="15" customHeight="1">
      <c r="B298" s="233"/>
      <c r="C298" s="144" t="s">
        <v>430</v>
      </c>
      <c r="D298" s="131">
        <v>160</v>
      </c>
      <c r="E298" s="131" t="s">
        <v>197</v>
      </c>
      <c r="F298" s="131">
        <v>1097.5</v>
      </c>
      <c r="G298" s="131" t="s">
        <v>195</v>
      </c>
      <c r="H298" s="145" t="s">
        <v>198</v>
      </c>
    </row>
    <row r="299" spans="2:8" ht="15" customHeight="1">
      <c r="B299" s="233"/>
      <c r="C299" s="144" t="s">
        <v>430</v>
      </c>
      <c r="D299" s="131">
        <v>110</v>
      </c>
      <c r="E299" s="131" t="s">
        <v>197</v>
      </c>
      <c r="F299" s="131">
        <v>4362.5</v>
      </c>
      <c r="G299" s="131" t="s">
        <v>195</v>
      </c>
      <c r="H299" s="145" t="s">
        <v>198</v>
      </c>
    </row>
    <row r="300" spans="2:8" ht="15" customHeight="1">
      <c r="B300" s="233"/>
      <c r="C300" s="144" t="s">
        <v>430</v>
      </c>
      <c r="D300" s="131">
        <v>90</v>
      </c>
      <c r="E300" s="131" t="s">
        <v>197</v>
      </c>
      <c r="F300" s="131">
        <v>2870.3</v>
      </c>
      <c r="G300" s="131" t="s">
        <v>195</v>
      </c>
      <c r="H300" s="145" t="s">
        <v>198</v>
      </c>
    </row>
    <row r="301" spans="2:8" ht="15" customHeight="1">
      <c r="B301" s="233"/>
      <c r="C301" s="144" t="s">
        <v>430</v>
      </c>
      <c r="D301" s="131">
        <v>50</v>
      </c>
      <c r="E301" s="131" t="s">
        <v>200</v>
      </c>
      <c r="F301" s="131">
        <v>6520</v>
      </c>
      <c r="G301" s="131" t="s">
        <v>195</v>
      </c>
      <c r="H301" s="145" t="s">
        <v>198</v>
      </c>
    </row>
    <row r="302" spans="2:8" ht="15" customHeight="1">
      <c r="B302" s="233"/>
      <c r="C302" s="144" t="s">
        <v>430</v>
      </c>
      <c r="D302" s="131">
        <v>63</v>
      </c>
      <c r="E302" s="131" t="s">
        <v>200</v>
      </c>
      <c r="F302" s="131">
        <v>75.3</v>
      </c>
      <c r="G302" s="131" t="s">
        <v>195</v>
      </c>
      <c r="H302" s="145" t="s">
        <v>198</v>
      </c>
    </row>
    <row r="303" spans="2:8" ht="15" customHeight="1">
      <c r="B303" s="233"/>
      <c r="C303" s="144" t="s">
        <v>430</v>
      </c>
      <c r="D303" s="131">
        <v>50</v>
      </c>
      <c r="E303" s="131" t="s">
        <v>200</v>
      </c>
      <c r="F303" s="131">
        <v>55</v>
      </c>
      <c r="G303" s="131" t="s">
        <v>195</v>
      </c>
      <c r="H303" s="145" t="s">
        <v>198</v>
      </c>
    </row>
    <row r="304" spans="2:8" ht="15" customHeight="1">
      <c r="B304" s="233"/>
      <c r="C304" s="144" t="s">
        <v>430</v>
      </c>
      <c r="D304" s="131">
        <v>50</v>
      </c>
      <c r="E304" s="131" t="s">
        <v>200</v>
      </c>
      <c r="F304" s="131">
        <v>65</v>
      </c>
      <c r="G304" s="131" t="s">
        <v>195</v>
      </c>
      <c r="H304" s="145" t="s">
        <v>198</v>
      </c>
    </row>
    <row r="305" spans="2:8" ht="15" customHeight="1">
      <c r="B305" s="233"/>
      <c r="C305" s="144" t="s">
        <v>430</v>
      </c>
      <c r="D305" s="131">
        <v>75</v>
      </c>
      <c r="E305" s="131" t="s">
        <v>200</v>
      </c>
      <c r="F305" s="131">
        <v>4</v>
      </c>
      <c r="G305" s="131" t="s">
        <v>195</v>
      </c>
      <c r="H305" s="145" t="s">
        <v>198</v>
      </c>
    </row>
    <row r="306" spans="2:8" ht="15" customHeight="1">
      <c r="B306" s="233"/>
      <c r="C306" s="144" t="s">
        <v>430</v>
      </c>
      <c r="D306" s="131">
        <v>50</v>
      </c>
      <c r="E306" s="131" t="s">
        <v>200</v>
      </c>
      <c r="F306" s="131">
        <v>100</v>
      </c>
      <c r="G306" s="131" t="s">
        <v>195</v>
      </c>
      <c r="H306" s="145" t="s">
        <v>198</v>
      </c>
    </row>
    <row r="307" spans="2:8" ht="15" customHeight="1">
      <c r="B307" s="233"/>
      <c r="C307" s="144" t="s">
        <v>430</v>
      </c>
      <c r="D307" s="131">
        <v>63</v>
      </c>
      <c r="E307" s="131" t="s">
        <v>200</v>
      </c>
      <c r="F307" s="131">
        <v>273</v>
      </c>
      <c r="G307" s="131" t="s">
        <v>195</v>
      </c>
      <c r="H307" s="145" t="s">
        <v>198</v>
      </c>
    </row>
    <row r="308" spans="2:8" ht="15" customHeight="1">
      <c r="B308" s="233"/>
      <c r="C308" s="144" t="s">
        <v>430</v>
      </c>
      <c r="D308" s="131">
        <v>50</v>
      </c>
      <c r="E308" s="131" t="s">
        <v>200</v>
      </c>
      <c r="F308" s="131">
        <v>75.599999999999994</v>
      </c>
      <c r="G308" s="131" t="s">
        <v>195</v>
      </c>
      <c r="H308" s="145" t="s">
        <v>198</v>
      </c>
    </row>
    <row r="309" spans="2:8" ht="15" customHeight="1">
      <c r="B309" s="233"/>
      <c r="C309" s="144" t="s">
        <v>430</v>
      </c>
      <c r="D309" s="131">
        <v>110</v>
      </c>
      <c r="E309" s="131" t="s">
        <v>200</v>
      </c>
      <c r="F309" s="131">
        <v>60</v>
      </c>
      <c r="G309" s="131" t="s">
        <v>195</v>
      </c>
      <c r="H309" s="145" t="s">
        <v>198</v>
      </c>
    </row>
    <row r="310" spans="2:8" ht="15" customHeight="1" thickBot="1">
      <c r="B310" s="234"/>
      <c r="C310" s="146" t="s">
        <v>430</v>
      </c>
      <c r="D310" s="147">
        <v>50</v>
      </c>
      <c r="E310" s="147" t="s">
        <v>200</v>
      </c>
      <c r="F310" s="147">
        <v>54.5</v>
      </c>
      <c r="G310" s="147" t="s">
        <v>195</v>
      </c>
      <c r="H310" s="148" t="s">
        <v>198</v>
      </c>
    </row>
    <row r="311" spans="2:8" ht="15" customHeight="1">
      <c r="B311" s="232" t="s">
        <v>400</v>
      </c>
      <c r="C311" s="141" t="s">
        <v>430</v>
      </c>
      <c r="D311" s="142">
        <v>63</v>
      </c>
      <c r="E311" s="142" t="s">
        <v>200</v>
      </c>
      <c r="F311" s="142">
        <v>3880</v>
      </c>
      <c r="G311" s="142" t="s">
        <v>434</v>
      </c>
      <c r="H311" s="143" t="s">
        <v>198</v>
      </c>
    </row>
    <row r="312" spans="2:8" ht="15" customHeight="1">
      <c r="B312" s="233"/>
      <c r="C312" s="144" t="s">
        <v>430</v>
      </c>
      <c r="D312" s="131" t="s">
        <v>432</v>
      </c>
      <c r="E312" s="131" t="s">
        <v>197</v>
      </c>
      <c r="F312" s="131">
        <v>140.41999999999999</v>
      </c>
      <c r="G312" s="131" t="s">
        <v>434</v>
      </c>
      <c r="H312" s="145" t="s">
        <v>198</v>
      </c>
    </row>
    <row r="313" spans="2:8" ht="15" customHeight="1">
      <c r="B313" s="233"/>
      <c r="C313" s="144" t="s">
        <v>430</v>
      </c>
      <c r="D313" s="131" t="s">
        <v>432</v>
      </c>
      <c r="E313" s="131" t="s">
        <v>197</v>
      </c>
      <c r="F313" s="131">
        <v>3265.65</v>
      </c>
      <c r="G313" s="131" t="s">
        <v>434</v>
      </c>
      <c r="H313" s="145" t="s">
        <v>198</v>
      </c>
    </row>
    <row r="314" spans="2:8" ht="15" customHeight="1">
      <c r="B314" s="233"/>
      <c r="C314" s="144" t="s">
        <v>430</v>
      </c>
      <c r="D314" s="131" t="s">
        <v>432</v>
      </c>
      <c r="E314" s="131" t="s">
        <v>197</v>
      </c>
      <c r="F314" s="131">
        <v>1514.12</v>
      </c>
      <c r="G314" s="131" t="s">
        <v>434</v>
      </c>
      <c r="H314" s="145" t="s">
        <v>198</v>
      </c>
    </row>
    <row r="315" spans="2:8" ht="15" customHeight="1">
      <c r="B315" s="233"/>
      <c r="C315" s="144" t="s">
        <v>430</v>
      </c>
      <c r="D315" s="131" t="s">
        <v>432</v>
      </c>
      <c r="E315" s="131" t="s">
        <v>197</v>
      </c>
      <c r="F315" s="131">
        <v>662.94</v>
      </c>
      <c r="G315" s="131" t="s">
        <v>434</v>
      </c>
      <c r="H315" s="145" t="s">
        <v>198</v>
      </c>
    </row>
    <row r="316" spans="2:8" ht="15" customHeight="1">
      <c r="B316" s="233"/>
      <c r="C316" s="144" t="s">
        <v>430</v>
      </c>
      <c r="D316" s="131" t="s">
        <v>432</v>
      </c>
      <c r="E316" s="131" t="s">
        <v>197</v>
      </c>
      <c r="F316" s="131">
        <v>2231.06</v>
      </c>
      <c r="G316" s="131" t="s">
        <v>434</v>
      </c>
      <c r="H316" s="145" t="s">
        <v>198</v>
      </c>
    </row>
    <row r="317" spans="2:8" ht="15" customHeight="1">
      <c r="B317" s="233"/>
      <c r="C317" s="144" t="s">
        <v>430</v>
      </c>
      <c r="D317" s="131" t="s">
        <v>432</v>
      </c>
      <c r="E317" s="131" t="s">
        <v>199</v>
      </c>
      <c r="F317" s="131">
        <v>8300</v>
      </c>
      <c r="G317" s="131" t="s">
        <v>434</v>
      </c>
      <c r="H317" s="145" t="s">
        <v>198</v>
      </c>
    </row>
    <row r="318" spans="2:8" ht="15" customHeight="1">
      <c r="B318" s="233"/>
      <c r="C318" s="144" t="s">
        <v>430</v>
      </c>
      <c r="D318" s="131" t="s">
        <v>432</v>
      </c>
      <c r="E318" s="131" t="s">
        <v>199</v>
      </c>
      <c r="F318" s="131">
        <v>30</v>
      </c>
      <c r="G318" s="131" t="s">
        <v>434</v>
      </c>
      <c r="H318" s="145" t="s">
        <v>198</v>
      </c>
    </row>
    <row r="319" spans="2:8" ht="15" customHeight="1">
      <c r="B319" s="233"/>
      <c r="C319" s="144" t="s">
        <v>430</v>
      </c>
      <c r="D319" s="131" t="s">
        <v>432</v>
      </c>
      <c r="E319" s="131" t="s">
        <v>199</v>
      </c>
      <c r="F319" s="131">
        <v>30</v>
      </c>
      <c r="G319" s="131" t="s">
        <v>434</v>
      </c>
      <c r="H319" s="145" t="s">
        <v>198</v>
      </c>
    </row>
    <row r="320" spans="2:8" ht="15" customHeight="1" thickBot="1">
      <c r="B320" s="234"/>
      <c r="C320" s="149" t="s">
        <v>430</v>
      </c>
      <c r="D320" s="150">
        <v>50</v>
      </c>
      <c r="E320" s="150" t="s">
        <v>200</v>
      </c>
      <c r="F320" s="150">
        <v>54</v>
      </c>
      <c r="G320" s="150" t="s">
        <v>434</v>
      </c>
      <c r="H320" s="151" t="s">
        <v>198</v>
      </c>
    </row>
    <row r="321" spans="2:8" ht="15" customHeight="1">
      <c r="B321" s="235" t="s">
        <v>401</v>
      </c>
      <c r="C321" s="121" t="s">
        <v>430</v>
      </c>
      <c r="D321" s="142">
        <v>110</v>
      </c>
      <c r="E321" s="142" t="s">
        <v>197</v>
      </c>
      <c r="F321" s="142">
        <v>4357.34</v>
      </c>
      <c r="G321" s="142" t="s">
        <v>195</v>
      </c>
      <c r="H321" s="143" t="s">
        <v>196</v>
      </c>
    </row>
    <row r="322" spans="2:8" ht="15" customHeight="1">
      <c r="B322" s="236"/>
      <c r="C322" s="122" t="s">
        <v>430</v>
      </c>
      <c r="D322" s="131">
        <v>90</v>
      </c>
      <c r="E322" s="131" t="s">
        <v>200</v>
      </c>
      <c r="F322" s="131">
        <v>8097.93</v>
      </c>
      <c r="G322" s="131" t="s">
        <v>195</v>
      </c>
      <c r="H322" s="145" t="s">
        <v>196</v>
      </c>
    </row>
    <row r="323" spans="2:8" ht="15" customHeight="1">
      <c r="B323" s="236"/>
      <c r="C323" s="122" t="s">
        <v>430</v>
      </c>
      <c r="D323" s="131">
        <v>75</v>
      </c>
      <c r="E323" s="131" t="s">
        <v>200</v>
      </c>
      <c r="F323" s="131">
        <v>1392.11</v>
      </c>
      <c r="G323" s="131" t="s">
        <v>195</v>
      </c>
      <c r="H323" s="145" t="s">
        <v>196</v>
      </c>
    </row>
    <row r="324" spans="2:8" ht="15" customHeight="1">
      <c r="B324" s="236"/>
      <c r="C324" s="122" t="s">
        <v>430</v>
      </c>
      <c r="D324" s="131">
        <v>63</v>
      </c>
      <c r="E324" s="131" t="s">
        <v>200</v>
      </c>
      <c r="F324" s="131">
        <v>9881.0400000000009</v>
      </c>
      <c r="G324" s="131" t="s">
        <v>195</v>
      </c>
      <c r="H324" s="145" t="s">
        <v>196</v>
      </c>
    </row>
    <row r="325" spans="2:8" ht="15" customHeight="1">
      <c r="B325" s="236"/>
      <c r="C325" s="122" t="s">
        <v>430</v>
      </c>
      <c r="D325" s="131">
        <v>80</v>
      </c>
      <c r="E325" s="131" t="s">
        <v>199</v>
      </c>
      <c r="F325" s="131">
        <v>36</v>
      </c>
      <c r="G325" s="131" t="s">
        <v>195</v>
      </c>
      <c r="H325" s="145" t="s">
        <v>196</v>
      </c>
    </row>
    <row r="326" spans="2:8" ht="15" customHeight="1">
      <c r="B326" s="236"/>
      <c r="C326" s="122" t="s">
        <v>430</v>
      </c>
      <c r="D326" s="131">
        <v>60</v>
      </c>
      <c r="E326" s="131" t="s">
        <v>199</v>
      </c>
      <c r="F326" s="131">
        <v>42</v>
      </c>
      <c r="G326" s="131" t="s">
        <v>195</v>
      </c>
      <c r="H326" s="145" t="s">
        <v>196</v>
      </c>
    </row>
    <row r="327" spans="2:8" ht="15" customHeight="1">
      <c r="B327" s="236"/>
      <c r="C327" s="122" t="s">
        <v>430</v>
      </c>
      <c r="D327" s="131" t="s">
        <v>432</v>
      </c>
      <c r="E327" s="131" t="s">
        <v>203</v>
      </c>
      <c r="F327" s="131">
        <v>1025.3800000000001</v>
      </c>
      <c r="G327" s="131" t="s">
        <v>195</v>
      </c>
      <c r="H327" s="145" t="s">
        <v>196</v>
      </c>
    </row>
    <row r="328" spans="2:8" ht="15" customHeight="1">
      <c r="B328" s="236"/>
      <c r="C328" s="122" t="s">
        <v>430</v>
      </c>
      <c r="D328" s="131">
        <v>200</v>
      </c>
      <c r="E328" s="131" t="s">
        <v>197</v>
      </c>
      <c r="F328" s="131">
        <v>12</v>
      </c>
      <c r="G328" s="131" t="s">
        <v>195</v>
      </c>
      <c r="H328" s="145" t="s">
        <v>196</v>
      </c>
    </row>
    <row r="329" spans="2:8" ht="15" customHeight="1">
      <c r="B329" s="236"/>
      <c r="C329" s="122" t="s">
        <v>430</v>
      </c>
      <c r="D329" s="131">
        <v>160</v>
      </c>
      <c r="E329" s="131" t="s">
        <v>197</v>
      </c>
      <c r="F329" s="131">
        <v>487.91</v>
      </c>
      <c r="G329" s="131" t="s">
        <v>195</v>
      </c>
      <c r="H329" s="145" t="s">
        <v>196</v>
      </c>
    </row>
    <row r="330" spans="2:8" ht="15" customHeight="1">
      <c r="B330" s="236"/>
      <c r="C330" s="122" t="s">
        <v>430</v>
      </c>
      <c r="D330" s="131">
        <v>140</v>
      </c>
      <c r="E330" s="131" t="s">
        <v>197</v>
      </c>
      <c r="F330" s="131">
        <v>902.08</v>
      </c>
      <c r="G330" s="131" t="s">
        <v>195</v>
      </c>
      <c r="H330" s="145" t="s">
        <v>196</v>
      </c>
    </row>
    <row r="331" spans="2:8" ht="15" customHeight="1">
      <c r="B331" s="236"/>
      <c r="C331" s="122" t="s">
        <v>430</v>
      </c>
      <c r="D331" s="131">
        <v>125</v>
      </c>
      <c r="E331" s="131" t="s">
        <v>197</v>
      </c>
      <c r="F331" s="131">
        <v>1472.38</v>
      </c>
      <c r="G331" s="131" t="s">
        <v>195</v>
      </c>
      <c r="H331" s="145" t="s">
        <v>196</v>
      </c>
    </row>
    <row r="332" spans="2:8" ht="15" customHeight="1">
      <c r="B332" s="236"/>
      <c r="C332" s="122" t="s">
        <v>430</v>
      </c>
      <c r="D332" s="131">
        <v>110</v>
      </c>
      <c r="E332" s="131" t="s">
        <v>197</v>
      </c>
      <c r="F332" s="131">
        <v>4962.75</v>
      </c>
      <c r="G332" s="131" t="s">
        <v>195</v>
      </c>
      <c r="H332" s="145" t="s">
        <v>196</v>
      </c>
    </row>
    <row r="333" spans="2:8" ht="15" customHeight="1">
      <c r="B333" s="236"/>
      <c r="C333" s="122" t="s">
        <v>430</v>
      </c>
      <c r="D333" s="131">
        <v>90</v>
      </c>
      <c r="E333" s="131" t="s">
        <v>200</v>
      </c>
      <c r="F333" s="131">
        <v>7598.14</v>
      </c>
      <c r="G333" s="131" t="s">
        <v>195</v>
      </c>
      <c r="H333" s="145" t="s">
        <v>196</v>
      </c>
    </row>
    <row r="334" spans="2:8" ht="15" customHeight="1">
      <c r="B334" s="236"/>
      <c r="C334" s="122" t="s">
        <v>430</v>
      </c>
      <c r="D334" s="131">
        <v>75</v>
      </c>
      <c r="E334" s="131" t="s">
        <v>200</v>
      </c>
      <c r="F334" s="131">
        <v>11294.41</v>
      </c>
      <c r="G334" s="131" t="s">
        <v>195</v>
      </c>
      <c r="H334" s="145" t="s">
        <v>196</v>
      </c>
    </row>
    <row r="335" spans="2:8" ht="15" customHeight="1">
      <c r="B335" s="236"/>
      <c r="C335" s="122" t="s">
        <v>430</v>
      </c>
      <c r="D335" s="131">
        <v>63</v>
      </c>
      <c r="E335" s="131" t="s">
        <v>200</v>
      </c>
      <c r="F335" s="131">
        <v>36664.18</v>
      </c>
      <c r="G335" s="131" t="s">
        <v>195</v>
      </c>
      <c r="H335" s="145" t="s">
        <v>196</v>
      </c>
    </row>
    <row r="336" spans="2:8" ht="15" customHeight="1">
      <c r="B336" s="236"/>
      <c r="C336" s="122" t="s">
        <v>430</v>
      </c>
      <c r="D336" s="131">
        <v>125</v>
      </c>
      <c r="E336" s="131" t="s">
        <v>199</v>
      </c>
      <c r="F336" s="131">
        <v>20</v>
      </c>
      <c r="G336" s="131" t="s">
        <v>195</v>
      </c>
      <c r="H336" s="145" t="s">
        <v>196</v>
      </c>
    </row>
    <row r="337" spans="2:8" ht="15" customHeight="1">
      <c r="B337" s="236"/>
      <c r="C337" s="122" t="s">
        <v>430</v>
      </c>
      <c r="D337" s="131">
        <v>100</v>
      </c>
      <c r="E337" s="131" t="s">
        <v>199</v>
      </c>
      <c r="F337" s="131">
        <v>42.58</v>
      </c>
      <c r="G337" s="131" t="s">
        <v>195</v>
      </c>
      <c r="H337" s="145" t="s">
        <v>196</v>
      </c>
    </row>
    <row r="338" spans="2:8" ht="15" customHeight="1">
      <c r="B338" s="236"/>
      <c r="C338" s="122" t="s">
        <v>430</v>
      </c>
      <c r="D338" s="131">
        <v>80</v>
      </c>
      <c r="E338" s="131" t="s">
        <v>199</v>
      </c>
      <c r="F338" s="131">
        <v>136.63999999999999</v>
      </c>
      <c r="G338" s="131" t="s">
        <v>195</v>
      </c>
      <c r="H338" s="145" t="s">
        <v>196</v>
      </c>
    </row>
    <row r="339" spans="2:8" ht="15" customHeight="1" thickBot="1">
      <c r="B339" s="237"/>
      <c r="C339" s="123" t="s">
        <v>430</v>
      </c>
      <c r="D339" s="150">
        <v>60</v>
      </c>
      <c r="E339" s="150" t="s">
        <v>199</v>
      </c>
      <c r="F339" s="150">
        <v>186.64</v>
      </c>
      <c r="G339" s="131" t="s">
        <v>195</v>
      </c>
      <c r="H339" s="151" t="s">
        <v>196</v>
      </c>
    </row>
    <row r="340" spans="2:8" ht="15" customHeight="1">
      <c r="B340" s="226" t="s">
        <v>288</v>
      </c>
      <c r="C340" s="152" t="s">
        <v>430</v>
      </c>
      <c r="D340" s="130">
        <v>50</v>
      </c>
      <c r="E340" s="130" t="s">
        <v>200</v>
      </c>
      <c r="F340" s="130">
        <v>8414</v>
      </c>
      <c r="G340" s="130" t="s">
        <v>434</v>
      </c>
      <c r="H340" s="153" t="s">
        <v>196</v>
      </c>
    </row>
    <row r="341" spans="2:8" ht="15" customHeight="1">
      <c r="B341" s="227"/>
      <c r="C341" s="144" t="s">
        <v>430</v>
      </c>
      <c r="D341" s="131">
        <v>50</v>
      </c>
      <c r="E341" s="131" t="s">
        <v>200</v>
      </c>
      <c r="F341" s="131">
        <v>13280</v>
      </c>
      <c r="G341" s="131" t="s">
        <v>434</v>
      </c>
      <c r="H341" s="145" t="s">
        <v>196</v>
      </c>
    </row>
    <row r="342" spans="2:8" ht="15" customHeight="1">
      <c r="B342" s="227"/>
      <c r="C342" s="144" t="s">
        <v>430</v>
      </c>
      <c r="D342" s="131">
        <v>110</v>
      </c>
      <c r="E342" s="131" t="s">
        <v>197</v>
      </c>
      <c r="F342" s="131">
        <v>967</v>
      </c>
      <c r="G342" s="131" t="s">
        <v>434</v>
      </c>
      <c r="H342" s="145" t="s">
        <v>196</v>
      </c>
    </row>
    <row r="343" spans="2:8" ht="15" customHeight="1">
      <c r="B343" s="227"/>
      <c r="C343" s="144" t="s">
        <v>430</v>
      </c>
      <c r="D343" s="131">
        <v>63</v>
      </c>
      <c r="E343" s="131" t="s">
        <v>197</v>
      </c>
      <c r="F343" s="131">
        <v>5950</v>
      </c>
      <c r="G343" s="131" t="s">
        <v>434</v>
      </c>
      <c r="H343" s="145" t="s">
        <v>196</v>
      </c>
    </row>
    <row r="344" spans="2:8" ht="15" customHeight="1">
      <c r="B344" s="227"/>
      <c r="C344" s="144" t="s">
        <v>430</v>
      </c>
      <c r="D344" s="131">
        <v>63</v>
      </c>
      <c r="E344" s="131" t="s">
        <v>200</v>
      </c>
      <c r="F344" s="131">
        <v>30136.73</v>
      </c>
      <c r="G344" s="131" t="s">
        <v>434</v>
      </c>
      <c r="H344" s="145" t="s">
        <v>198</v>
      </c>
    </row>
    <row r="345" spans="2:8" ht="15" customHeight="1">
      <c r="B345" s="227"/>
      <c r="C345" s="144" t="s">
        <v>430</v>
      </c>
      <c r="D345" s="131">
        <v>50</v>
      </c>
      <c r="E345" s="131" t="s">
        <v>200</v>
      </c>
      <c r="F345" s="131">
        <v>55</v>
      </c>
      <c r="G345" s="131" t="s">
        <v>434</v>
      </c>
      <c r="H345" s="145" t="s">
        <v>198</v>
      </c>
    </row>
    <row r="346" spans="2:8" ht="15" customHeight="1">
      <c r="B346" s="227"/>
      <c r="C346" s="144" t="s">
        <v>430</v>
      </c>
      <c r="D346" s="131">
        <v>63</v>
      </c>
      <c r="E346" s="131" t="s">
        <v>200</v>
      </c>
      <c r="F346" s="131">
        <v>700</v>
      </c>
      <c r="G346" s="131" t="s">
        <v>434</v>
      </c>
      <c r="H346" s="145" t="s">
        <v>198</v>
      </c>
    </row>
    <row r="347" spans="2:8" ht="15" customHeight="1">
      <c r="B347" s="227"/>
      <c r="C347" s="144" t="s">
        <v>430</v>
      </c>
      <c r="D347" s="131">
        <v>160</v>
      </c>
      <c r="E347" s="131" t="s">
        <v>197</v>
      </c>
      <c r="F347" s="131">
        <v>3142</v>
      </c>
      <c r="G347" s="131" t="s">
        <v>434</v>
      </c>
      <c r="H347" s="145" t="s">
        <v>198</v>
      </c>
    </row>
    <row r="348" spans="2:8" ht="15" customHeight="1" thickBot="1">
      <c r="B348" s="228"/>
      <c r="C348" s="149" t="s">
        <v>430</v>
      </c>
      <c r="D348" s="150">
        <v>50</v>
      </c>
      <c r="E348" s="150" t="s">
        <v>200</v>
      </c>
      <c r="F348" s="150">
        <v>2335</v>
      </c>
      <c r="G348" s="150" t="s">
        <v>434</v>
      </c>
      <c r="H348" s="151" t="s">
        <v>198</v>
      </c>
    </row>
    <row r="349" spans="2:8" ht="15" customHeight="1">
      <c r="B349" s="229" t="s">
        <v>258</v>
      </c>
      <c r="C349" s="144" t="s">
        <v>430</v>
      </c>
      <c r="D349" s="142">
        <v>63</v>
      </c>
      <c r="E349" s="142" t="s">
        <v>200</v>
      </c>
      <c r="F349" s="142">
        <v>75</v>
      </c>
      <c r="G349" s="142" t="s">
        <v>195</v>
      </c>
      <c r="H349" s="143" t="s">
        <v>198</v>
      </c>
    </row>
    <row r="350" spans="2:8" ht="15" customHeight="1">
      <c r="B350" s="230"/>
      <c r="C350" s="144" t="s">
        <v>430</v>
      </c>
      <c r="D350" s="131">
        <v>63</v>
      </c>
      <c r="E350" s="131" t="s">
        <v>200</v>
      </c>
      <c r="F350" s="131">
        <v>127</v>
      </c>
      <c r="G350" s="131" t="s">
        <v>195</v>
      </c>
      <c r="H350" s="145" t="s">
        <v>196</v>
      </c>
    </row>
    <row r="351" spans="2:8" ht="15" customHeight="1">
      <c r="B351" s="230"/>
      <c r="C351" s="144" t="s">
        <v>430</v>
      </c>
      <c r="D351" s="131">
        <v>50</v>
      </c>
      <c r="E351" s="131" t="s">
        <v>200</v>
      </c>
      <c r="F351" s="131">
        <v>70</v>
      </c>
      <c r="G351" s="131" t="s">
        <v>195</v>
      </c>
      <c r="H351" s="145" t="s">
        <v>196</v>
      </c>
    </row>
    <row r="352" spans="2:8" ht="15" customHeight="1">
      <c r="B352" s="230"/>
      <c r="C352" s="144" t="s">
        <v>430</v>
      </c>
      <c r="D352" s="131">
        <v>75</v>
      </c>
      <c r="E352" s="131" t="s">
        <v>200</v>
      </c>
      <c r="F352" s="131">
        <v>126</v>
      </c>
      <c r="G352" s="131" t="s">
        <v>195</v>
      </c>
      <c r="H352" s="145" t="s">
        <v>196</v>
      </c>
    </row>
    <row r="353" spans="2:8" ht="15" customHeight="1">
      <c r="B353" s="230"/>
      <c r="C353" s="144" t="s">
        <v>430</v>
      </c>
      <c r="D353" s="131">
        <v>50</v>
      </c>
      <c r="E353" s="131" t="s">
        <v>200</v>
      </c>
      <c r="F353" s="131">
        <v>60</v>
      </c>
      <c r="G353" s="131" t="s">
        <v>195</v>
      </c>
      <c r="H353" s="145" t="s">
        <v>196</v>
      </c>
    </row>
    <row r="354" spans="2:8" ht="15" customHeight="1">
      <c r="B354" s="230"/>
      <c r="C354" s="144" t="s">
        <v>430</v>
      </c>
      <c r="D354" s="131">
        <v>63</v>
      </c>
      <c r="E354" s="131" t="s">
        <v>200</v>
      </c>
      <c r="F354" s="131">
        <v>65</v>
      </c>
      <c r="G354" s="131" t="s">
        <v>195</v>
      </c>
      <c r="H354" s="145" t="s">
        <v>196</v>
      </c>
    </row>
    <row r="355" spans="2:8" ht="15" customHeight="1">
      <c r="B355" s="230"/>
      <c r="C355" s="144" t="s">
        <v>430</v>
      </c>
      <c r="D355" s="131">
        <v>63</v>
      </c>
      <c r="E355" s="131" t="s">
        <v>200</v>
      </c>
      <c r="F355" s="131">
        <v>84</v>
      </c>
      <c r="G355" s="131" t="s">
        <v>195</v>
      </c>
      <c r="H355" s="145" t="s">
        <v>196</v>
      </c>
    </row>
    <row r="356" spans="2:8" ht="15" customHeight="1">
      <c r="B356" s="230"/>
      <c r="C356" s="144" t="s">
        <v>430</v>
      </c>
      <c r="D356" s="131">
        <v>50</v>
      </c>
      <c r="E356" s="131" t="s">
        <v>200</v>
      </c>
      <c r="F356" s="131">
        <v>60</v>
      </c>
      <c r="G356" s="131" t="s">
        <v>195</v>
      </c>
      <c r="H356" s="145" t="s">
        <v>196</v>
      </c>
    </row>
    <row r="357" spans="2:8" ht="15" customHeight="1">
      <c r="B357" s="230"/>
      <c r="C357" s="144" t="s">
        <v>430</v>
      </c>
      <c r="D357" s="131">
        <v>50</v>
      </c>
      <c r="E357" s="131" t="s">
        <v>200</v>
      </c>
      <c r="F357" s="131">
        <v>53</v>
      </c>
      <c r="G357" s="131" t="s">
        <v>195</v>
      </c>
      <c r="H357" s="145" t="s">
        <v>196</v>
      </c>
    </row>
    <row r="358" spans="2:8" ht="15" customHeight="1">
      <c r="B358" s="230"/>
      <c r="C358" s="144" t="s">
        <v>430</v>
      </c>
      <c r="D358" s="131">
        <v>50</v>
      </c>
      <c r="E358" s="131" t="s">
        <v>200</v>
      </c>
      <c r="F358" s="131">
        <v>75</v>
      </c>
      <c r="G358" s="131" t="s">
        <v>195</v>
      </c>
      <c r="H358" s="145" t="s">
        <v>196</v>
      </c>
    </row>
    <row r="359" spans="2:8" ht="15" customHeight="1">
      <c r="B359" s="230"/>
      <c r="C359" s="144" t="s">
        <v>430</v>
      </c>
      <c r="D359" s="131">
        <v>50</v>
      </c>
      <c r="E359" s="131" t="s">
        <v>200</v>
      </c>
      <c r="F359" s="131">
        <v>65</v>
      </c>
      <c r="G359" s="131" t="s">
        <v>195</v>
      </c>
      <c r="H359" s="145" t="s">
        <v>196</v>
      </c>
    </row>
    <row r="360" spans="2:8" ht="15" customHeight="1">
      <c r="B360" s="230"/>
      <c r="C360" s="144" t="s">
        <v>430</v>
      </c>
      <c r="D360" s="131">
        <v>50</v>
      </c>
      <c r="E360" s="131" t="s">
        <v>200</v>
      </c>
      <c r="F360" s="131">
        <v>55</v>
      </c>
      <c r="G360" s="131" t="s">
        <v>195</v>
      </c>
      <c r="H360" s="145" t="s">
        <v>196</v>
      </c>
    </row>
    <row r="361" spans="2:8" ht="15" customHeight="1">
      <c r="B361" s="230"/>
      <c r="C361" s="144" t="s">
        <v>430</v>
      </c>
      <c r="D361" s="131">
        <v>50</v>
      </c>
      <c r="E361" s="131" t="s">
        <v>200</v>
      </c>
      <c r="F361" s="131">
        <v>46</v>
      </c>
      <c r="G361" s="131" t="s">
        <v>195</v>
      </c>
      <c r="H361" s="145" t="s">
        <v>196</v>
      </c>
    </row>
    <row r="362" spans="2:8" ht="15" customHeight="1">
      <c r="B362" s="230"/>
      <c r="C362" s="144" t="s">
        <v>430</v>
      </c>
      <c r="D362" s="131">
        <v>63</v>
      </c>
      <c r="E362" s="131" t="s">
        <v>200</v>
      </c>
      <c r="F362" s="131">
        <v>70</v>
      </c>
      <c r="G362" s="131" t="s">
        <v>195</v>
      </c>
      <c r="H362" s="145" t="s">
        <v>196</v>
      </c>
    </row>
    <row r="363" spans="2:8" ht="15" customHeight="1">
      <c r="B363" s="230"/>
      <c r="C363" s="144" t="s">
        <v>430</v>
      </c>
      <c r="D363" s="131">
        <v>50</v>
      </c>
      <c r="E363" s="131" t="s">
        <v>200</v>
      </c>
      <c r="F363" s="131">
        <v>160</v>
      </c>
      <c r="G363" s="131" t="s">
        <v>195</v>
      </c>
      <c r="H363" s="145" t="s">
        <v>196</v>
      </c>
    </row>
    <row r="364" spans="2:8" ht="15" customHeight="1">
      <c r="B364" s="230"/>
      <c r="C364" s="144" t="s">
        <v>430</v>
      </c>
      <c r="D364" s="131">
        <v>110</v>
      </c>
      <c r="E364" s="131" t="s">
        <v>200</v>
      </c>
      <c r="F364" s="131">
        <v>2952</v>
      </c>
      <c r="G364" s="131" t="s">
        <v>195</v>
      </c>
      <c r="H364" s="145" t="s">
        <v>196</v>
      </c>
    </row>
    <row r="365" spans="2:8" ht="15" customHeight="1">
      <c r="B365" s="230"/>
      <c r="C365" s="144" t="s">
        <v>430</v>
      </c>
      <c r="D365" s="131">
        <v>90</v>
      </c>
      <c r="E365" s="131" t="s">
        <v>200</v>
      </c>
      <c r="F365" s="131">
        <v>4017</v>
      </c>
      <c r="G365" s="131" t="s">
        <v>195</v>
      </c>
      <c r="H365" s="145" t="s">
        <v>196</v>
      </c>
    </row>
    <row r="366" spans="2:8" ht="15" customHeight="1">
      <c r="B366" s="230"/>
      <c r="C366" s="144" t="s">
        <v>430</v>
      </c>
      <c r="D366" s="131">
        <v>75</v>
      </c>
      <c r="E366" s="131" t="s">
        <v>200</v>
      </c>
      <c r="F366" s="131">
        <v>2718</v>
      </c>
      <c r="G366" s="131" t="s">
        <v>195</v>
      </c>
      <c r="H366" s="145" t="s">
        <v>196</v>
      </c>
    </row>
    <row r="367" spans="2:8" ht="15" customHeight="1">
      <c r="B367" s="230"/>
      <c r="C367" s="144" t="s">
        <v>430</v>
      </c>
      <c r="D367" s="131">
        <v>63</v>
      </c>
      <c r="E367" s="131" t="s">
        <v>200</v>
      </c>
      <c r="F367" s="131">
        <v>4931</v>
      </c>
      <c r="G367" s="131" t="s">
        <v>195</v>
      </c>
      <c r="H367" s="145" t="s">
        <v>196</v>
      </c>
    </row>
    <row r="368" spans="2:8" ht="15" customHeight="1">
      <c r="B368" s="230"/>
      <c r="C368" s="144" t="s">
        <v>430</v>
      </c>
      <c r="D368" s="131">
        <v>125</v>
      </c>
      <c r="E368" s="131" t="s">
        <v>197</v>
      </c>
      <c r="F368" s="131">
        <v>660</v>
      </c>
      <c r="G368" s="131" t="s">
        <v>195</v>
      </c>
      <c r="H368" s="145" t="s">
        <v>431</v>
      </c>
    </row>
    <row r="369" spans="2:8" ht="15" customHeight="1">
      <c r="B369" s="230"/>
      <c r="C369" s="144" t="s">
        <v>430</v>
      </c>
      <c r="D369" s="131">
        <v>110</v>
      </c>
      <c r="E369" s="131" t="s">
        <v>197</v>
      </c>
      <c r="F369" s="131">
        <v>1752</v>
      </c>
      <c r="G369" s="131" t="s">
        <v>195</v>
      </c>
      <c r="H369" s="145" t="s">
        <v>431</v>
      </c>
    </row>
    <row r="370" spans="2:8" ht="15" customHeight="1">
      <c r="B370" s="230"/>
      <c r="C370" s="144" t="s">
        <v>430</v>
      </c>
      <c r="D370" s="131">
        <v>90</v>
      </c>
      <c r="E370" s="131" t="s">
        <v>197</v>
      </c>
      <c r="F370" s="131">
        <v>198</v>
      </c>
      <c r="G370" s="131" t="s">
        <v>195</v>
      </c>
      <c r="H370" s="145" t="s">
        <v>431</v>
      </c>
    </row>
    <row r="371" spans="2:8" ht="15" customHeight="1">
      <c r="B371" s="230"/>
      <c r="C371" s="144" t="s">
        <v>430</v>
      </c>
      <c r="D371" s="131">
        <v>63</v>
      </c>
      <c r="E371" s="131" t="s">
        <v>197</v>
      </c>
      <c r="F371" s="131">
        <v>438</v>
      </c>
      <c r="G371" s="131" t="s">
        <v>195</v>
      </c>
      <c r="H371" s="145" t="s">
        <v>431</v>
      </c>
    </row>
    <row r="372" spans="2:8" ht="15" customHeight="1">
      <c r="B372" s="230"/>
      <c r="C372" s="144" t="s">
        <v>430</v>
      </c>
      <c r="D372" s="131">
        <v>60</v>
      </c>
      <c r="E372" s="131" t="s">
        <v>194</v>
      </c>
      <c r="F372" s="131">
        <v>16765</v>
      </c>
      <c r="G372" s="131" t="s">
        <v>195</v>
      </c>
      <c r="H372" s="145" t="s">
        <v>196</v>
      </c>
    </row>
    <row r="373" spans="2:8" ht="15" customHeight="1">
      <c r="B373" s="230"/>
      <c r="C373" s="144" t="s">
        <v>430</v>
      </c>
      <c r="D373" s="131">
        <v>63</v>
      </c>
      <c r="E373" s="131" t="s">
        <v>197</v>
      </c>
      <c r="F373" s="131">
        <v>7362</v>
      </c>
      <c r="G373" s="131" t="s">
        <v>195</v>
      </c>
      <c r="H373" s="145" t="s">
        <v>196</v>
      </c>
    </row>
    <row r="374" spans="2:8" ht="15" customHeight="1">
      <c r="B374" s="230"/>
      <c r="C374" s="144" t="s">
        <v>430</v>
      </c>
      <c r="D374" s="131">
        <v>50</v>
      </c>
      <c r="E374" s="131" t="s">
        <v>200</v>
      </c>
      <c r="F374" s="131">
        <v>5000</v>
      </c>
      <c r="G374" s="131" t="s">
        <v>195</v>
      </c>
      <c r="H374" s="145" t="s">
        <v>196</v>
      </c>
    </row>
    <row r="375" spans="2:8" ht="15" customHeight="1">
      <c r="B375" s="230"/>
      <c r="C375" s="144" t="s">
        <v>430</v>
      </c>
      <c r="D375" s="131">
        <v>225</v>
      </c>
      <c r="E375" s="131" t="s">
        <v>197</v>
      </c>
      <c r="F375" s="131">
        <v>200</v>
      </c>
      <c r="G375" s="131" t="s">
        <v>195</v>
      </c>
      <c r="H375" s="145" t="s">
        <v>196</v>
      </c>
    </row>
    <row r="376" spans="2:8" ht="15" customHeight="1">
      <c r="B376" s="230"/>
      <c r="C376" s="144" t="s">
        <v>430</v>
      </c>
      <c r="D376" s="131">
        <v>200</v>
      </c>
      <c r="E376" s="131" t="s">
        <v>197</v>
      </c>
      <c r="F376" s="131">
        <v>2400</v>
      </c>
      <c r="G376" s="131" t="s">
        <v>195</v>
      </c>
      <c r="H376" s="145" t="s">
        <v>196</v>
      </c>
    </row>
    <row r="377" spans="2:8" ht="15" customHeight="1">
      <c r="B377" s="230"/>
      <c r="C377" s="144" t="s">
        <v>430</v>
      </c>
      <c r="D377" s="131">
        <v>160</v>
      </c>
      <c r="E377" s="131" t="s">
        <v>197</v>
      </c>
      <c r="F377" s="131">
        <v>4000</v>
      </c>
      <c r="G377" s="131" t="s">
        <v>195</v>
      </c>
      <c r="H377" s="145" t="s">
        <v>196</v>
      </c>
    </row>
    <row r="378" spans="2:8" ht="15" customHeight="1">
      <c r="B378" s="230"/>
      <c r="C378" s="144" t="s">
        <v>430</v>
      </c>
      <c r="D378" s="131">
        <v>140</v>
      </c>
      <c r="E378" s="131" t="s">
        <v>197</v>
      </c>
      <c r="F378" s="131">
        <v>1100</v>
      </c>
      <c r="G378" s="131" t="s">
        <v>195</v>
      </c>
      <c r="H378" s="145" t="s">
        <v>196</v>
      </c>
    </row>
    <row r="379" spans="2:8" ht="15" customHeight="1">
      <c r="B379" s="230"/>
      <c r="C379" s="144" t="s">
        <v>430</v>
      </c>
      <c r="D379" s="131">
        <v>125</v>
      </c>
      <c r="E379" s="131" t="s">
        <v>197</v>
      </c>
      <c r="F379" s="131">
        <v>1600</v>
      </c>
      <c r="G379" s="131" t="s">
        <v>195</v>
      </c>
      <c r="H379" s="145" t="s">
        <v>196</v>
      </c>
    </row>
    <row r="380" spans="2:8" ht="15" customHeight="1">
      <c r="B380" s="230"/>
      <c r="C380" s="144" t="s">
        <v>430</v>
      </c>
      <c r="D380" s="131">
        <v>110</v>
      </c>
      <c r="E380" s="131" t="s">
        <v>197</v>
      </c>
      <c r="F380" s="131">
        <v>2400</v>
      </c>
      <c r="G380" s="131" t="s">
        <v>195</v>
      </c>
      <c r="H380" s="145" t="s">
        <v>196</v>
      </c>
    </row>
    <row r="381" spans="2:8" ht="15" customHeight="1">
      <c r="B381" s="230"/>
      <c r="C381" s="144" t="s">
        <v>430</v>
      </c>
      <c r="D381" s="131">
        <v>90</v>
      </c>
      <c r="E381" s="131" t="s">
        <v>200</v>
      </c>
      <c r="F381" s="131">
        <v>1600</v>
      </c>
      <c r="G381" s="131" t="s">
        <v>195</v>
      </c>
      <c r="H381" s="145" t="s">
        <v>196</v>
      </c>
    </row>
    <row r="382" spans="2:8" ht="15" customHeight="1">
      <c r="B382" s="230"/>
      <c r="C382" s="144" t="s">
        <v>430</v>
      </c>
      <c r="D382" s="131">
        <v>75</v>
      </c>
      <c r="E382" s="131" t="s">
        <v>200</v>
      </c>
      <c r="F382" s="131">
        <v>2900</v>
      </c>
      <c r="G382" s="131" t="s">
        <v>195</v>
      </c>
      <c r="H382" s="145" t="s">
        <v>196</v>
      </c>
    </row>
    <row r="383" spans="2:8" ht="15" customHeight="1">
      <c r="B383" s="230"/>
      <c r="C383" s="144" t="s">
        <v>430</v>
      </c>
      <c r="D383" s="131">
        <v>63</v>
      </c>
      <c r="E383" s="131" t="s">
        <v>200</v>
      </c>
      <c r="F383" s="131">
        <v>6800</v>
      </c>
      <c r="G383" s="131" t="s">
        <v>195</v>
      </c>
      <c r="H383" s="145" t="s">
        <v>196</v>
      </c>
    </row>
    <row r="384" spans="2:8" ht="15" customHeight="1">
      <c r="B384" s="230"/>
      <c r="C384" s="144" t="s">
        <v>430</v>
      </c>
      <c r="D384" s="131">
        <v>50</v>
      </c>
      <c r="E384" s="131" t="s">
        <v>200</v>
      </c>
      <c r="F384" s="131">
        <v>22000</v>
      </c>
      <c r="G384" s="131" t="s">
        <v>195</v>
      </c>
      <c r="H384" s="145" t="s">
        <v>196</v>
      </c>
    </row>
    <row r="385" spans="2:8" ht="15" customHeight="1">
      <c r="B385" s="230"/>
      <c r="C385" s="144" t="s">
        <v>430</v>
      </c>
      <c r="D385" s="131">
        <v>200</v>
      </c>
      <c r="E385" s="131" t="s">
        <v>199</v>
      </c>
      <c r="F385" s="131">
        <v>15</v>
      </c>
      <c r="G385" s="131" t="s">
        <v>195</v>
      </c>
      <c r="H385" s="145" t="s">
        <v>196</v>
      </c>
    </row>
    <row r="386" spans="2:8" ht="15" customHeight="1">
      <c r="B386" s="230"/>
      <c r="C386" s="144" t="s">
        <v>430</v>
      </c>
      <c r="D386" s="131">
        <v>150</v>
      </c>
      <c r="E386" s="131" t="s">
        <v>199</v>
      </c>
      <c r="F386" s="131">
        <v>15</v>
      </c>
      <c r="G386" s="131" t="s">
        <v>195</v>
      </c>
      <c r="H386" s="145" t="s">
        <v>196</v>
      </c>
    </row>
    <row r="387" spans="2:8" ht="15" customHeight="1">
      <c r="B387" s="230"/>
      <c r="C387" s="144" t="s">
        <v>430</v>
      </c>
      <c r="D387" s="131">
        <v>160</v>
      </c>
      <c r="E387" s="131" t="s">
        <v>197</v>
      </c>
      <c r="F387" s="131">
        <v>250</v>
      </c>
      <c r="G387" s="131" t="s">
        <v>195</v>
      </c>
      <c r="H387" s="145" t="s">
        <v>196</v>
      </c>
    </row>
    <row r="388" spans="2:8" ht="15" customHeight="1">
      <c r="B388" s="230"/>
      <c r="C388" s="144" t="s">
        <v>430</v>
      </c>
      <c r="D388" s="131">
        <v>110</v>
      </c>
      <c r="E388" s="131" t="s">
        <v>197</v>
      </c>
      <c r="F388" s="131">
        <v>400</v>
      </c>
      <c r="G388" s="131" t="s">
        <v>195</v>
      </c>
      <c r="H388" s="145" t="s">
        <v>196</v>
      </c>
    </row>
    <row r="389" spans="2:8" ht="15" customHeight="1">
      <c r="B389" s="230"/>
      <c r="C389" s="144" t="s">
        <v>430</v>
      </c>
      <c r="D389" s="131">
        <v>140</v>
      </c>
      <c r="E389" s="131" t="s">
        <v>197</v>
      </c>
      <c r="F389" s="131">
        <v>447</v>
      </c>
      <c r="G389" s="131" t="s">
        <v>195</v>
      </c>
      <c r="H389" s="145" t="s">
        <v>196</v>
      </c>
    </row>
    <row r="390" spans="2:8" ht="15" customHeight="1">
      <c r="B390" s="230"/>
      <c r="C390" s="144" t="s">
        <v>430</v>
      </c>
      <c r="D390" s="131">
        <v>90</v>
      </c>
      <c r="E390" s="131" t="s">
        <v>197</v>
      </c>
      <c r="F390" s="131">
        <v>1952</v>
      </c>
      <c r="G390" s="131" t="s">
        <v>195</v>
      </c>
      <c r="H390" s="145" t="s">
        <v>196</v>
      </c>
    </row>
    <row r="391" spans="2:8" ht="15" customHeight="1">
      <c r="B391" s="230"/>
      <c r="C391" s="144" t="s">
        <v>430</v>
      </c>
      <c r="D391" s="131">
        <v>75</v>
      </c>
      <c r="E391" s="131" t="s">
        <v>197</v>
      </c>
      <c r="F391" s="131">
        <v>66</v>
      </c>
      <c r="G391" s="131" t="s">
        <v>195</v>
      </c>
      <c r="H391" s="145" t="s">
        <v>196</v>
      </c>
    </row>
    <row r="392" spans="2:8" ht="15" customHeight="1">
      <c r="B392" s="230"/>
      <c r="C392" s="144" t="s">
        <v>430</v>
      </c>
      <c r="D392" s="131">
        <v>63</v>
      </c>
      <c r="E392" s="131" t="s">
        <v>197</v>
      </c>
      <c r="F392" s="131">
        <v>24</v>
      </c>
      <c r="G392" s="131" t="s">
        <v>195</v>
      </c>
      <c r="H392" s="145" t="s">
        <v>196</v>
      </c>
    </row>
    <row r="393" spans="2:8" ht="15" customHeight="1">
      <c r="B393" s="230"/>
      <c r="C393" s="144" t="s">
        <v>430</v>
      </c>
      <c r="D393" s="131">
        <v>80</v>
      </c>
      <c r="E393" s="131" t="s">
        <v>194</v>
      </c>
      <c r="F393" s="131">
        <v>3529</v>
      </c>
      <c r="G393" s="131" t="s">
        <v>195</v>
      </c>
      <c r="H393" s="145" t="s">
        <v>196</v>
      </c>
    </row>
    <row r="394" spans="2:8" ht="15" customHeight="1">
      <c r="B394" s="230"/>
      <c r="C394" s="144" t="s">
        <v>430</v>
      </c>
      <c r="D394" s="131">
        <v>60</v>
      </c>
      <c r="E394" s="131" t="s">
        <v>199</v>
      </c>
      <c r="F394" s="131">
        <v>83</v>
      </c>
      <c r="G394" s="131" t="s">
        <v>195</v>
      </c>
      <c r="H394" s="145" t="s">
        <v>196</v>
      </c>
    </row>
    <row r="395" spans="2:8" ht="15" customHeight="1">
      <c r="B395" s="230"/>
      <c r="C395" s="144" t="s">
        <v>430</v>
      </c>
      <c r="D395" s="131">
        <v>100</v>
      </c>
      <c r="E395" s="131" t="s">
        <v>194</v>
      </c>
      <c r="F395" s="131">
        <v>565</v>
      </c>
      <c r="G395" s="131" t="s">
        <v>195</v>
      </c>
      <c r="H395" s="145" t="s">
        <v>196</v>
      </c>
    </row>
    <row r="396" spans="2:8" ht="15" customHeight="1">
      <c r="B396" s="230"/>
      <c r="C396" s="144" t="s">
        <v>430</v>
      </c>
      <c r="D396" s="131">
        <v>150</v>
      </c>
      <c r="E396" s="131" t="s">
        <v>194</v>
      </c>
      <c r="F396" s="131">
        <v>1200</v>
      </c>
      <c r="G396" s="131" t="s">
        <v>195</v>
      </c>
      <c r="H396" s="145" t="s">
        <v>196</v>
      </c>
    </row>
    <row r="397" spans="2:8" ht="15" customHeight="1">
      <c r="B397" s="230"/>
      <c r="C397" s="144" t="s">
        <v>430</v>
      </c>
      <c r="D397" s="131">
        <v>90</v>
      </c>
      <c r="E397" s="131" t="s">
        <v>197</v>
      </c>
      <c r="F397" s="131">
        <v>2100</v>
      </c>
      <c r="G397" s="131" t="s">
        <v>195</v>
      </c>
      <c r="H397" s="145" t="s">
        <v>196</v>
      </c>
    </row>
    <row r="398" spans="2:8" ht="15" customHeight="1">
      <c r="B398" s="230"/>
      <c r="C398" s="144" t="s">
        <v>430</v>
      </c>
      <c r="D398" s="131">
        <v>63</v>
      </c>
      <c r="E398" s="131" t="s">
        <v>200</v>
      </c>
      <c r="F398" s="131">
        <v>6800</v>
      </c>
      <c r="G398" s="131" t="s">
        <v>195</v>
      </c>
      <c r="H398" s="145" t="s">
        <v>196</v>
      </c>
    </row>
    <row r="399" spans="2:8" ht="15" customHeight="1">
      <c r="B399" s="230"/>
      <c r="C399" s="144" t="s">
        <v>430</v>
      </c>
      <c r="D399" s="131">
        <v>63</v>
      </c>
      <c r="E399" s="131" t="s">
        <v>200</v>
      </c>
      <c r="F399" s="131">
        <v>400</v>
      </c>
      <c r="G399" s="131" t="s">
        <v>195</v>
      </c>
      <c r="H399" s="145" t="s">
        <v>196</v>
      </c>
    </row>
    <row r="400" spans="2:8" ht="15" customHeight="1">
      <c r="B400" s="230"/>
      <c r="C400" s="144" t="s">
        <v>430</v>
      </c>
      <c r="D400" s="131">
        <v>50</v>
      </c>
      <c r="E400" s="131" t="s">
        <v>200</v>
      </c>
      <c r="F400" s="131">
        <v>2610</v>
      </c>
      <c r="G400" s="131" t="s">
        <v>195</v>
      </c>
      <c r="H400" s="145" t="s">
        <v>196</v>
      </c>
    </row>
    <row r="401" spans="2:8" ht="15" customHeight="1">
      <c r="B401" s="230"/>
      <c r="C401" s="144" t="s">
        <v>430</v>
      </c>
      <c r="D401" s="131">
        <v>63</v>
      </c>
      <c r="E401" s="131" t="s">
        <v>200</v>
      </c>
      <c r="F401" s="131">
        <v>100</v>
      </c>
      <c r="G401" s="131" t="s">
        <v>195</v>
      </c>
      <c r="H401" s="145" t="s">
        <v>435</v>
      </c>
    </row>
    <row r="402" spans="2:8" ht="15" customHeight="1">
      <c r="B402" s="230"/>
      <c r="C402" s="144" t="s">
        <v>430</v>
      </c>
      <c r="D402" s="131">
        <v>63</v>
      </c>
      <c r="E402" s="131" t="s">
        <v>200</v>
      </c>
      <c r="F402" s="131">
        <v>100</v>
      </c>
      <c r="G402" s="131" t="s">
        <v>195</v>
      </c>
      <c r="H402" s="145" t="s">
        <v>435</v>
      </c>
    </row>
    <row r="403" spans="2:8" ht="15" customHeight="1">
      <c r="B403" s="230"/>
      <c r="C403" s="144" t="s">
        <v>430</v>
      </c>
      <c r="D403" s="131">
        <v>63</v>
      </c>
      <c r="E403" s="131" t="s">
        <v>200</v>
      </c>
      <c r="F403" s="131">
        <v>96</v>
      </c>
      <c r="G403" s="131" t="s">
        <v>195</v>
      </c>
      <c r="H403" s="145" t="s">
        <v>435</v>
      </c>
    </row>
    <row r="404" spans="2:8" ht="15" customHeight="1">
      <c r="B404" s="230"/>
      <c r="C404" s="144" t="s">
        <v>430</v>
      </c>
      <c r="D404" s="131">
        <v>75</v>
      </c>
      <c r="E404" s="131" t="s">
        <v>200</v>
      </c>
      <c r="F404" s="131">
        <v>227</v>
      </c>
      <c r="G404" s="131" t="s">
        <v>195</v>
      </c>
      <c r="H404" s="145" t="s">
        <v>435</v>
      </c>
    </row>
    <row r="405" spans="2:8" ht="15" customHeight="1">
      <c r="B405" s="230"/>
      <c r="C405" s="144" t="s">
        <v>430</v>
      </c>
      <c r="D405" s="131">
        <v>50</v>
      </c>
      <c r="E405" s="131" t="s">
        <v>200</v>
      </c>
      <c r="F405" s="131">
        <v>150</v>
      </c>
      <c r="G405" s="131" t="s">
        <v>195</v>
      </c>
      <c r="H405" s="145" t="s">
        <v>435</v>
      </c>
    </row>
    <row r="406" spans="2:8" ht="15" customHeight="1">
      <c r="B406" s="230"/>
      <c r="C406" s="144" t="s">
        <v>430</v>
      </c>
      <c r="D406" s="131">
        <v>60</v>
      </c>
      <c r="E406" s="131" t="s">
        <v>199</v>
      </c>
      <c r="F406" s="131">
        <v>115</v>
      </c>
      <c r="G406" s="131" t="s">
        <v>195</v>
      </c>
      <c r="H406" s="145" t="s">
        <v>196</v>
      </c>
    </row>
    <row r="407" spans="2:8" ht="15" customHeight="1">
      <c r="B407" s="230"/>
      <c r="C407" s="144" t="s">
        <v>430</v>
      </c>
      <c r="D407" s="131">
        <v>60</v>
      </c>
      <c r="E407" s="131" t="s">
        <v>199</v>
      </c>
      <c r="F407" s="131">
        <v>96</v>
      </c>
      <c r="G407" s="131" t="s">
        <v>195</v>
      </c>
      <c r="H407" s="145" t="s">
        <v>196</v>
      </c>
    </row>
    <row r="408" spans="2:8" ht="15" customHeight="1">
      <c r="B408" s="230"/>
      <c r="C408" s="144" t="s">
        <v>430</v>
      </c>
      <c r="D408" s="131">
        <v>63</v>
      </c>
      <c r="E408" s="131" t="s">
        <v>199</v>
      </c>
      <c r="F408" s="131">
        <v>4200</v>
      </c>
      <c r="G408" s="131" t="s">
        <v>195</v>
      </c>
      <c r="H408" s="145" t="s">
        <v>433</v>
      </c>
    </row>
    <row r="409" spans="2:8" ht="15" customHeight="1">
      <c r="B409" s="230"/>
      <c r="C409" s="144" t="s">
        <v>430</v>
      </c>
      <c r="D409" s="131">
        <v>50</v>
      </c>
      <c r="E409" s="131" t="s">
        <v>200</v>
      </c>
      <c r="F409" s="131">
        <v>46</v>
      </c>
      <c r="G409" s="131" t="s">
        <v>195</v>
      </c>
      <c r="H409" s="145" t="s">
        <v>435</v>
      </c>
    </row>
    <row r="410" spans="2:8" ht="15" customHeight="1">
      <c r="B410" s="230"/>
      <c r="C410" s="144" t="s">
        <v>430</v>
      </c>
      <c r="D410" s="131">
        <v>50</v>
      </c>
      <c r="E410" s="131" t="s">
        <v>200</v>
      </c>
      <c r="F410" s="131">
        <v>55</v>
      </c>
      <c r="G410" s="131" t="s">
        <v>195</v>
      </c>
      <c r="H410" s="145" t="s">
        <v>435</v>
      </c>
    </row>
    <row r="411" spans="2:8" ht="15" customHeight="1">
      <c r="B411" s="230"/>
      <c r="C411" s="144" t="s">
        <v>430</v>
      </c>
      <c r="D411" s="131">
        <v>50</v>
      </c>
      <c r="E411" s="131" t="s">
        <v>200</v>
      </c>
      <c r="F411" s="131">
        <v>75</v>
      </c>
      <c r="G411" s="131" t="s">
        <v>195</v>
      </c>
      <c r="H411" s="145" t="s">
        <v>435</v>
      </c>
    </row>
    <row r="412" spans="2:8" ht="15" customHeight="1">
      <c r="B412" s="230"/>
      <c r="C412" s="144" t="s">
        <v>430</v>
      </c>
      <c r="D412" s="131">
        <v>50</v>
      </c>
      <c r="E412" s="131" t="s">
        <v>200</v>
      </c>
      <c r="F412" s="131">
        <v>150</v>
      </c>
      <c r="G412" s="131" t="s">
        <v>195</v>
      </c>
      <c r="H412" s="145" t="s">
        <v>435</v>
      </c>
    </row>
    <row r="413" spans="2:8" ht="15" customHeight="1">
      <c r="B413" s="230"/>
      <c r="C413" s="144" t="s">
        <v>430</v>
      </c>
      <c r="D413" s="131">
        <v>63</v>
      </c>
      <c r="E413" s="131" t="s">
        <v>197</v>
      </c>
      <c r="F413" s="131">
        <v>70</v>
      </c>
      <c r="G413" s="131" t="s">
        <v>195</v>
      </c>
      <c r="H413" s="145" t="s">
        <v>435</v>
      </c>
    </row>
    <row r="414" spans="2:8" ht="15" customHeight="1">
      <c r="B414" s="230"/>
      <c r="C414" s="144" t="s">
        <v>430</v>
      </c>
      <c r="D414" s="131">
        <v>50</v>
      </c>
      <c r="E414" s="131" t="s">
        <v>200</v>
      </c>
      <c r="F414" s="131">
        <v>50</v>
      </c>
      <c r="G414" s="131" t="s">
        <v>195</v>
      </c>
      <c r="H414" s="145" t="s">
        <v>435</v>
      </c>
    </row>
    <row r="415" spans="2:8" ht="15" customHeight="1">
      <c r="B415" s="230"/>
      <c r="C415" s="144" t="s">
        <v>430</v>
      </c>
      <c r="D415" s="131">
        <v>50</v>
      </c>
      <c r="E415" s="131" t="s">
        <v>200</v>
      </c>
      <c r="F415" s="131">
        <v>160</v>
      </c>
      <c r="G415" s="131" t="s">
        <v>195</v>
      </c>
      <c r="H415" s="145" t="s">
        <v>435</v>
      </c>
    </row>
    <row r="416" spans="2:8" ht="15" customHeight="1">
      <c r="B416" s="230"/>
      <c r="C416" s="144" t="s">
        <v>430</v>
      </c>
      <c r="D416" s="131">
        <v>50</v>
      </c>
      <c r="E416" s="131" t="s">
        <v>200</v>
      </c>
      <c r="F416" s="131">
        <v>50</v>
      </c>
      <c r="G416" s="131" t="s">
        <v>195</v>
      </c>
      <c r="H416" s="145" t="s">
        <v>435</v>
      </c>
    </row>
    <row r="417" spans="2:8" ht="15" customHeight="1">
      <c r="B417" s="230"/>
      <c r="C417" s="144" t="s">
        <v>430</v>
      </c>
      <c r="D417" s="131">
        <v>63</v>
      </c>
      <c r="E417" s="131" t="s">
        <v>200</v>
      </c>
      <c r="F417" s="131">
        <v>70</v>
      </c>
      <c r="G417" s="131" t="s">
        <v>195</v>
      </c>
      <c r="H417" s="145" t="s">
        <v>435</v>
      </c>
    </row>
    <row r="418" spans="2:8" ht="15" customHeight="1">
      <c r="B418" s="230"/>
      <c r="C418" s="144" t="s">
        <v>430</v>
      </c>
      <c r="D418" s="131">
        <v>63</v>
      </c>
      <c r="E418" s="131" t="s">
        <v>197</v>
      </c>
      <c r="F418" s="131">
        <v>346</v>
      </c>
      <c r="G418" s="131" t="s">
        <v>195</v>
      </c>
      <c r="H418" s="145" t="s">
        <v>435</v>
      </c>
    </row>
    <row r="419" spans="2:8" ht="15" customHeight="1">
      <c r="B419" s="230"/>
      <c r="C419" s="144" t="s">
        <v>430</v>
      </c>
      <c r="D419" s="131">
        <v>63</v>
      </c>
      <c r="E419" s="131" t="s">
        <v>197</v>
      </c>
      <c r="F419" s="131">
        <v>238</v>
      </c>
      <c r="G419" s="131" t="s">
        <v>195</v>
      </c>
      <c r="H419" s="145" t="s">
        <v>435</v>
      </c>
    </row>
    <row r="420" spans="2:8" ht="15" customHeight="1">
      <c r="B420" s="230"/>
      <c r="C420" s="144" t="s">
        <v>430</v>
      </c>
      <c r="D420" s="131">
        <v>63</v>
      </c>
      <c r="E420" s="131" t="s">
        <v>197</v>
      </c>
      <c r="F420" s="131">
        <v>93.56</v>
      </c>
      <c r="G420" s="131" t="s">
        <v>195</v>
      </c>
      <c r="H420" s="145" t="s">
        <v>435</v>
      </c>
    </row>
    <row r="421" spans="2:8" ht="15" customHeight="1">
      <c r="B421" s="230"/>
      <c r="C421" s="144" t="s">
        <v>430</v>
      </c>
      <c r="D421" s="131">
        <v>63</v>
      </c>
      <c r="E421" s="131" t="s">
        <v>197</v>
      </c>
      <c r="F421" s="131">
        <v>49.46</v>
      </c>
      <c r="G421" s="131" t="s">
        <v>195</v>
      </c>
      <c r="H421" s="145" t="s">
        <v>435</v>
      </c>
    </row>
    <row r="422" spans="2:8" ht="15" customHeight="1">
      <c r="B422" s="230"/>
      <c r="C422" s="144" t="s">
        <v>430</v>
      </c>
      <c r="D422" s="131">
        <v>63</v>
      </c>
      <c r="E422" s="131" t="s">
        <v>197</v>
      </c>
      <c r="F422" s="131">
        <v>60</v>
      </c>
      <c r="G422" s="131" t="s">
        <v>195</v>
      </c>
      <c r="H422" s="145" t="s">
        <v>435</v>
      </c>
    </row>
    <row r="423" spans="2:8" ht="15" customHeight="1">
      <c r="B423" s="230"/>
      <c r="C423" s="144" t="s">
        <v>430</v>
      </c>
      <c r="D423" s="131">
        <v>63</v>
      </c>
      <c r="E423" s="131" t="s">
        <v>197</v>
      </c>
      <c r="F423" s="131">
        <v>844</v>
      </c>
      <c r="G423" s="131" t="s">
        <v>195</v>
      </c>
      <c r="H423" s="145" t="s">
        <v>435</v>
      </c>
    </row>
    <row r="424" spans="2:8" ht="15" customHeight="1">
      <c r="B424" s="230"/>
      <c r="C424" s="144" t="s">
        <v>430</v>
      </c>
      <c r="D424" s="131">
        <v>63</v>
      </c>
      <c r="E424" s="131" t="s">
        <v>197</v>
      </c>
      <c r="F424" s="131">
        <v>30</v>
      </c>
      <c r="G424" s="131" t="s">
        <v>195</v>
      </c>
      <c r="H424" s="145" t="s">
        <v>435</v>
      </c>
    </row>
    <row r="425" spans="2:8" ht="15" customHeight="1">
      <c r="B425" s="230"/>
      <c r="C425" s="144" t="s">
        <v>430</v>
      </c>
      <c r="D425" s="131">
        <v>63</v>
      </c>
      <c r="E425" s="131" t="s">
        <v>197</v>
      </c>
      <c r="F425" s="131">
        <v>73</v>
      </c>
      <c r="G425" s="131" t="s">
        <v>195</v>
      </c>
      <c r="H425" s="145" t="s">
        <v>435</v>
      </c>
    </row>
    <row r="426" spans="2:8" ht="15" customHeight="1">
      <c r="B426" s="230"/>
      <c r="C426" s="144" t="s">
        <v>430</v>
      </c>
      <c r="D426" s="131">
        <v>63</v>
      </c>
      <c r="E426" s="131" t="s">
        <v>197</v>
      </c>
      <c r="F426" s="131">
        <v>79</v>
      </c>
      <c r="G426" s="131" t="s">
        <v>195</v>
      </c>
      <c r="H426" s="145" t="s">
        <v>435</v>
      </c>
    </row>
    <row r="427" spans="2:8" ht="15" customHeight="1">
      <c r="B427" s="230"/>
      <c r="C427" s="144" t="s">
        <v>430</v>
      </c>
      <c r="D427" s="131">
        <v>63</v>
      </c>
      <c r="E427" s="131" t="s">
        <v>197</v>
      </c>
      <c r="F427" s="131">
        <v>524</v>
      </c>
      <c r="G427" s="131" t="s">
        <v>195</v>
      </c>
      <c r="H427" s="145" t="s">
        <v>435</v>
      </c>
    </row>
    <row r="428" spans="2:8" ht="15" customHeight="1">
      <c r="B428" s="230"/>
      <c r="C428" s="144" t="s">
        <v>430</v>
      </c>
      <c r="D428" s="131">
        <v>63</v>
      </c>
      <c r="E428" s="131" t="s">
        <v>197</v>
      </c>
      <c r="F428" s="131">
        <v>1200</v>
      </c>
      <c r="G428" s="131" t="s">
        <v>195</v>
      </c>
      <c r="H428" s="145" t="s">
        <v>435</v>
      </c>
    </row>
    <row r="429" spans="2:8" ht="15" customHeight="1">
      <c r="B429" s="230"/>
      <c r="C429" s="144" t="s">
        <v>430</v>
      </c>
      <c r="D429" s="131">
        <v>63</v>
      </c>
      <c r="E429" s="131" t="s">
        <v>197</v>
      </c>
      <c r="F429" s="131">
        <v>460</v>
      </c>
      <c r="G429" s="131" t="s">
        <v>195</v>
      </c>
      <c r="H429" s="145" t="s">
        <v>435</v>
      </c>
    </row>
    <row r="430" spans="2:8" ht="15" customHeight="1">
      <c r="B430" s="230"/>
      <c r="C430" s="144" t="s">
        <v>430</v>
      </c>
      <c r="D430" s="131"/>
      <c r="E430" s="131" t="s">
        <v>197</v>
      </c>
      <c r="F430" s="131">
        <v>90</v>
      </c>
      <c r="G430" s="131" t="s">
        <v>195</v>
      </c>
      <c r="H430" s="145" t="s">
        <v>435</v>
      </c>
    </row>
    <row r="431" spans="2:8" ht="15" customHeight="1">
      <c r="B431" s="230"/>
      <c r="C431" s="144" t="s">
        <v>430</v>
      </c>
      <c r="D431" s="131">
        <v>63</v>
      </c>
      <c r="E431" s="131" t="s">
        <v>197</v>
      </c>
      <c r="F431" s="131">
        <v>180</v>
      </c>
      <c r="G431" s="131" t="s">
        <v>195</v>
      </c>
      <c r="H431" s="145" t="s">
        <v>435</v>
      </c>
    </row>
    <row r="432" spans="2:8" ht="15" customHeight="1">
      <c r="B432" s="230"/>
      <c r="C432" s="144" t="s">
        <v>430</v>
      </c>
      <c r="D432" s="131">
        <v>63</v>
      </c>
      <c r="E432" s="131" t="s">
        <v>197</v>
      </c>
      <c r="F432" s="131">
        <v>60</v>
      </c>
      <c r="G432" s="131" t="s">
        <v>195</v>
      </c>
      <c r="H432" s="145" t="s">
        <v>435</v>
      </c>
    </row>
    <row r="433" spans="2:8" ht="15" customHeight="1">
      <c r="B433" s="230"/>
      <c r="C433" s="144" t="s">
        <v>430</v>
      </c>
      <c r="D433" s="131">
        <v>63</v>
      </c>
      <c r="E433" s="131" t="s">
        <v>197</v>
      </c>
      <c r="F433" s="131">
        <v>52.5</v>
      </c>
      <c r="G433" s="131" t="s">
        <v>195</v>
      </c>
      <c r="H433" s="145" t="s">
        <v>435</v>
      </c>
    </row>
    <row r="434" spans="2:8" ht="15" customHeight="1">
      <c r="B434" s="230"/>
      <c r="C434" s="144" t="s">
        <v>430</v>
      </c>
      <c r="D434" s="131">
        <v>63</v>
      </c>
      <c r="E434" s="131" t="s">
        <v>197</v>
      </c>
      <c r="F434" s="131">
        <v>337</v>
      </c>
      <c r="G434" s="131" t="s">
        <v>195</v>
      </c>
      <c r="H434" s="145" t="s">
        <v>435</v>
      </c>
    </row>
    <row r="435" spans="2:8" ht="15" customHeight="1">
      <c r="B435" s="230"/>
      <c r="C435" s="144" t="s">
        <v>430</v>
      </c>
      <c r="D435" s="131">
        <v>63</v>
      </c>
      <c r="E435" s="131" t="s">
        <v>197</v>
      </c>
      <c r="F435" s="131">
        <v>97.47</v>
      </c>
      <c r="G435" s="131" t="s">
        <v>195</v>
      </c>
      <c r="H435" s="145" t="s">
        <v>435</v>
      </c>
    </row>
    <row r="436" spans="2:8" ht="15" customHeight="1">
      <c r="B436" s="230"/>
      <c r="C436" s="144" t="s">
        <v>430</v>
      </c>
      <c r="D436" s="131">
        <v>63</v>
      </c>
      <c r="E436" s="131" t="s">
        <v>197</v>
      </c>
      <c r="F436" s="131">
        <v>50.09</v>
      </c>
      <c r="G436" s="131" t="s">
        <v>195</v>
      </c>
      <c r="H436" s="145" t="s">
        <v>435</v>
      </c>
    </row>
    <row r="437" spans="2:8" ht="15" customHeight="1">
      <c r="B437" s="230"/>
      <c r="C437" s="144" t="s">
        <v>430</v>
      </c>
      <c r="D437" s="131">
        <v>63</v>
      </c>
      <c r="E437" s="131" t="s">
        <v>197</v>
      </c>
      <c r="F437" s="131">
        <v>50</v>
      </c>
      <c r="G437" s="131" t="s">
        <v>195</v>
      </c>
      <c r="H437" s="145" t="s">
        <v>435</v>
      </c>
    </row>
    <row r="438" spans="2:8" ht="15" customHeight="1">
      <c r="B438" s="230"/>
      <c r="C438" s="144" t="s">
        <v>430</v>
      </c>
      <c r="D438" s="131">
        <v>63</v>
      </c>
      <c r="E438" s="131" t="s">
        <v>197</v>
      </c>
      <c r="F438" s="131">
        <v>150</v>
      </c>
      <c r="G438" s="131" t="s">
        <v>195</v>
      </c>
      <c r="H438" s="145" t="s">
        <v>435</v>
      </c>
    </row>
    <row r="439" spans="2:8" ht="15" customHeight="1">
      <c r="B439" s="230"/>
      <c r="C439" s="144" t="s">
        <v>430</v>
      </c>
      <c r="D439" s="131">
        <v>63</v>
      </c>
      <c r="E439" s="131" t="s">
        <v>197</v>
      </c>
      <c r="F439" s="131">
        <v>70</v>
      </c>
      <c r="G439" s="131" t="s">
        <v>195</v>
      </c>
      <c r="H439" s="145" t="s">
        <v>435</v>
      </c>
    </row>
    <row r="440" spans="2:8" ht="15" customHeight="1">
      <c r="B440" s="230"/>
      <c r="C440" s="144" t="s">
        <v>430</v>
      </c>
      <c r="D440" s="131">
        <v>63</v>
      </c>
      <c r="E440" s="131" t="s">
        <v>197</v>
      </c>
      <c r="F440" s="131">
        <v>26</v>
      </c>
      <c r="G440" s="131" t="s">
        <v>195</v>
      </c>
      <c r="H440" s="145" t="s">
        <v>435</v>
      </c>
    </row>
    <row r="441" spans="2:8" ht="15" customHeight="1">
      <c r="B441" s="230"/>
      <c r="C441" s="144" t="s">
        <v>430</v>
      </c>
      <c r="D441" s="131">
        <v>63</v>
      </c>
      <c r="E441" s="131" t="s">
        <v>197</v>
      </c>
      <c r="F441" s="131">
        <v>12</v>
      </c>
      <c r="G441" s="131" t="s">
        <v>195</v>
      </c>
      <c r="H441" s="145" t="s">
        <v>435</v>
      </c>
    </row>
    <row r="442" spans="2:8" ht="15" customHeight="1">
      <c r="B442" s="230"/>
      <c r="C442" s="144" t="s">
        <v>430</v>
      </c>
      <c r="D442" s="131">
        <v>63</v>
      </c>
      <c r="E442" s="131" t="s">
        <v>197</v>
      </c>
      <c r="F442" s="131">
        <v>62.5</v>
      </c>
      <c r="G442" s="131" t="s">
        <v>195</v>
      </c>
      <c r="H442" s="145" t="s">
        <v>435</v>
      </c>
    </row>
    <row r="443" spans="2:8" ht="15" customHeight="1">
      <c r="B443" s="230"/>
      <c r="C443" s="144" t="s">
        <v>430</v>
      </c>
      <c r="D443" s="131">
        <v>63</v>
      </c>
      <c r="E443" s="131" t="s">
        <v>197</v>
      </c>
      <c r="F443" s="131">
        <v>125.5</v>
      </c>
      <c r="G443" s="131" t="s">
        <v>195</v>
      </c>
      <c r="H443" s="145" t="s">
        <v>435</v>
      </c>
    </row>
    <row r="444" spans="2:8" ht="15" customHeight="1">
      <c r="B444" s="230"/>
      <c r="C444" s="144" t="s">
        <v>430</v>
      </c>
      <c r="D444" s="131">
        <v>63</v>
      </c>
      <c r="E444" s="131" t="s">
        <v>197</v>
      </c>
      <c r="F444" s="131">
        <v>116</v>
      </c>
      <c r="G444" s="131" t="s">
        <v>195</v>
      </c>
      <c r="H444" s="145" t="s">
        <v>435</v>
      </c>
    </row>
    <row r="445" spans="2:8" ht="15" customHeight="1">
      <c r="B445" s="230"/>
      <c r="C445" s="144" t="s">
        <v>430</v>
      </c>
      <c r="D445" s="131">
        <v>63</v>
      </c>
      <c r="E445" s="131" t="s">
        <v>197</v>
      </c>
      <c r="F445" s="131">
        <v>80</v>
      </c>
      <c r="G445" s="131" t="s">
        <v>195</v>
      </c>
      <c r="H445" s="145" t="s">
        <v>435</v>
      </c>
    </row>
    <row r="446" spans="2:8" ht="15" customHeight="1">
      <c r="B446" s="230"/>
      <c r="C446" s="144" t="s">
        <v>430</v>
      </c>
      <c r="D446" s="131">
        <v>63</v>
      </c>
      <c r="E446" s="131" t="s">
        <v>197</v>
      </c>
      <c r="F446" s="131">
        <v>30</v>
      </c>
      <c r="G446" s="131" t="s">
        <v>195</v>
      </c>
      <c r="H446" s="145" t="s">
        <v>435</v>
      </c>
    </row>
    <row r="447" spans="2:8" ht="15" customHeight="1">
      <c r="B447" s="230"/>
      <c r="C447" s="144" t="s">
        <v>430</v>
      </c>
      <c r="D447" s="131">
        <v>63</v>
      </c>
      <c r="E447" s="131" t="s">
        <v>197</v>
      </c>
      <c r="F447" s="131">
        <v>28</v>
      </c>
      <c r="G447" s="131" t="s">
        <v>195</v>
      </c>
      <c r="H447" s="145" t="s">
        <v>435</v>
      </c>
    </row>
    <row r="448" spans="2:8" ht="15" customHeight="1">
      <c r="B448" s="230"/>
      <c r="C448" s="144" t="s">
        <v>430</v>
      </c>
      <c r="D448" s="131">
        <v>63</v>
      </c>
      <c r="E448" s="131" t="s">
        <v>197</v>
      </c>
      <c r="F448" s="131">
        <v>66</v>
      </c>
      <c r="G448" s="131" t="s">
        <v>195</v>
      </c>
      <c r="H448" s="145" t="s">
        <v>435</v>
      </c>
    </row>
    <row r="449" spans="2:8" ht="15" customHeight="1">
      <c r="B449" s="230"/>
      <c r="C449" s="144" t="s">
        <v>430</v>
      </c>
      <c r="D449" s="131">
        <v>63</v>
      </c>
      <c r="E449" s="131" t="s">
        <v>197</v>
      </c>
      <c r="F449" s="131">
        <v>125</v>
      </c>
      <c r="G449" s="131" t="s">
        <v>195</v>
      </c>
      <c r="H449" s="145" t="s">
        <v>435</v>
      </c>
    </row>
    <row r="450" spans="2:8" ht="15" customHeight="1">
      <c r="B450" s="230"/>
      <c r="C450" s="144" t="s">
        <v>430</v>
      </c>
      <c r="D450" s="131">
        <v>63</v>
      </c>
      <c r="E450" s="131" t="s">
        <v>197</v>
      </c>
      <c r="F450" s="131">
        <v>103.5</v>
      </c>
      <c r="G450" s="131" t="s">
        <v>195</v>
      </c>
      <c r="H450" s="145" t="s">
        <v>435</v>
      </c>
    </row>
    <row r="451" spans="2:8" ht="15" customHeight="1">
      <c r="B451" s="230"/>
      <c r="C451" s="144" t="s">
        <v>430</v>
      </c>
      <c r="D451" s="131">
        <v>63</v>
      </c>
      <c r="E451" s="131" t="s">
        <v>197</v>
      </c>
      <c r="F451" s="131">
        <v>73</v>
      </c>
      <c r="G451" s="131" t="s">
        <v>195</v>
      </c>
      <c r="H451" s="145" t="s">
        <v>435</v>
      </c>
    </row>
    <row r="452" spans="2:8" ht="15" customHeight="1">
      <c r="B452" s="230"/>
      <c r="C452" s="144" t="s">
        <v>430</v>
      </c>
      <c r="D452" s="131">
        <v>63</v>
      </c>
      <c r="E452" s="131" t="s">
        <v>197</v>
      </c>
      <c r="F452" s="131">
        <v>48</v>
      </c>
      <c r="G452" s="131" t="s">
        <v>195</v>
      </c>
      <c r="H452" s="145" t="s">
        <v>435</v>
      </c>
    </row>
    <row r="453" spans="2:8" ht="15" customHeight="1">
      <c r="B453" s="230"/>
      <c r="C453" s="144" t="s">
        <v>430</v>
      </c>
      <c r="D453" s="131">
        <v>63</v>
      </c>
      <c r="E453" s="131" t="s">
        <v>197</v>
      </c>
      <c r="F453" s="131">
        <v>79</v>
      </c>
      <c r="G453" s="131" t="s">
        <v>195</v>
      </c>
      <c r="H453" s="145" t="s">
        <v>435</v>
      </c>
    </row>
    <row r="454" spans="2:8" ht="15" customHeight="1">
      <c r="B454" s="230"/>
      <c r="C454" s="144" t="s">
        <v>430</v>
      </c>
      <c r="D454" s="131">
        <v>63</v>
      </c>
      <c r="E454" s="131" t="s">
        <v>197</v>
      </c>
      <c r="F454" s="131">
        <v>70</v>
      </c>
      <c r="G454" s="131" t="s">
        <v>195</v>
      </c>
      <c r="H454" s="145" t="s">
        <v>435</v>
      </c>
    </row>
    <row r="455" spans="2:8" ht="15" customHeight="1">
      <c r="B455" s="230"/>
      <c r="C455" s="144" t="s">
        <v>430</v>
      </c>
      <c r="D455" s="131">
        <v>63</v>
      </c>
      <c r="E455" s="131" t="s">
        <v>197</v>
      </c>
      <c r="F455" s="131">
        <v>23</v>
      </c>
      <c r="G455" s="131" t="s">
        <v>195</v>
      </c>
      <c r="H455" s="145" t="s">
        <v>435</v>
      </c>
    </row>
    <row r="456" spans="2:8" ht="15" customHeight="1">
      <c r="B456" s="230"/>
      <c r="C456" s="144" t="s">
        <v>430</v>
      </c>
      <c r="D456" s="131">
        <v>63</v>
      </c>
      <c r="E456" s="131" t="s">
        <v>197</v>
      </c>
      <c r="F456" s="131">
        <v>48</v>
      </c>
      <c r="G456" s="131" t="s">
        <v>195</v>
      </c>
      <c r="H456" s="145" t="s">
        <v>435</v>
      </c>
    </row>
    <row r="457" spans="2:8" ht="15" customHeight="1">
      <c r="B457" s="230"/>
      <c r="C457" s="144" t="s">
        <v>430</v>
      </c>
      <c r="D457" s="131">
        <v>63</v>
      </c>
      <c r="E457" s="131" t="s">
        <v>197</v>
      </c>
      <c r="F457" s="131">
        <v>18</v>
      </c>
      <c r="G457" s="131" t="s">
        <v>195</v>
      </c>
      <c r="H457" s="145" t="s">
        <v>435</v>
      </c>
    </row>
    <row r="458" spans="2:8" ht="15" customHeight="1">
      <c r="B458" s="230"/>
      <c r="C458" s="144" t="s">
        <v>430</v>
      </c>
      <c r="D458" s="131">
        <v>63</v>
      </c>
      <c r="E458" s="131" t="s">
        <v>197</v>
      </c>
      <c r="F458" s="131">
        <v>68</v>
      </c>
      <c r="G458" s="131" t="s">
        <v>195</v>
      </c>
      <c r="H458" s="145" t="s">
        <v>435</v>
      </c>
    </row>
    <row r="459" spans="2:8" ht="15" customHeight="1">
      <c r="B459" s="230"/>
      <c r="C459" s="144" t="s">
        <v>430</v>
      </c>
      <c r="D459" s="131">
        <v>63</v>
      </c>
      <c r="E459" s="131" t="s">
        <v>197</v>
      </c>
      <c r="F459" s="131">
        <v>24</v>
      </c>
      <c r="G459" s="131" t="s">
        <v>195</v>
      </c>
      <c r="H459" s="145" t="s">
        <v>435</v>
      </c>
    </row>
    <row r="460" spans="2:8" ht="15" customHeight="1">
      <c r="B460" s="230"/>
      <c r="C460" s="144" t="s">
        <v>430</v>
      </c>
      <c r="D460" s="131">
        <v>63</v>
      </c>
      <c r="E460" s="131" t="s">
        <v>197</v>
      </c>
      <c r="F460" s="131">
        <v>72</v>
      </c>
      <c r="G460" s="131" t="s">
        <v>195</v>
      </c>
      <c r="H460" s="145" t="s">
        <v>435</v>
      </c>
    </row>
    <row r="461" spans="2:8" ht="15" customHeight="1">
      <c r="B461" s="230"/>
      <c r="C461" s="144" t="s">
        <v>430</v>
      </c>
      <c r="D461" s="131">
        <v>63</v>
      </c>
      <c r="E461" s="131" t="s">
        <v>197</v>
      </c>
      <c r="F461" s="131">
        <v>39</v>
      </c>
      <c r="G461" s="131" t="s">
        <v>195</v>
      </c>
      <c r="H461" s="145" t="s">
        <v>435</v>
      </c>
    </row>
    <row r="462" spans="2:8" ht="15" customHeight="1">
      <c r="B462" s="230"/>
      <c r="C462" s="144" t="s">
        <v>430</v>
      </c>
      <c r="D462" s="131">
        <v>63</v>
      </c>
      <c r="E462" s="131" t="s">
        <v>197</v>
      </c>
      <c r="F462" s="131">
        <v>51</v>
      </c>
      <c r="G462" s="131" t="s">
        <v>195</v>
      </c>
      <c r="H462" s="145" t="s">
        <v>435</v>
      </c>
    </row>
    <row r="463" spans="2:8" ht="15" customHeight="1">
      <c r="B463" s="230"/>
      <c r="C463" s="144" t="s">
        <v>430</v>
      </c>
      <c r="D463" s="131">
        <v>63</v>
      </c>
      <c r="E463" s="131" t="s">
        <v>197</v>
      </c>
      <c r="F463" s="131">
        <v>73.239999999999995</v>
      </c>
      <c r="G463" s="131" t="s">
        <v>195</v>
      </c>
      <c r="H463" s="145" t="s">
        <v>435</v>
      </c>
    </row>
    <row r="464" spans="2:8" ht="15" customHeight="1">
      <c r="B464" s="230"/>
      <c r="C464" s="144" t="s">
        <v>430</v>
      </c>
      <c r="D464" s="131">
        <v>63</v>
      </c>
      <c r="E464" s="131" t="s">
        <v>197</v>
      </c>
      <c r="F464" s="131">
        <v>32.86</v>
      </c>
      <c r="G464" s="131" t="s">
        <v>195</v>
      </c>
      <c r="H464" s="145" t="s">
        <v>435</v>
      </c>
    </row>
    <row r="465" spans="2:8" ht="15" customHeight="1">
      <c r="B465" s="230"/>
      <c r="C465" s="144" t="s">
        <v>430</v>
      </c>
      <c r="D465" s="131">
        <v>63</v>
      </c>
      <c r="E465" s="131" t="s">
        <v>197</v>
      </c>
      <c r="F465" s="131">
        <v>38</v>
      </c>
      <c r="G465" s="131" t="s">
        <v>195</v>
      </c>
      <c r="H465" s="145" t="s">
        <v>435</v>
      </c>
    </row>
    <row r="466" spans="2:8" ht="15" customHeight="1">
      <c r="B466" s="230"/>
      <c r="C466" s="144" t="s">
        <v>430</v>
      </c>
      <c r="D466" s="131">
        <v>63</v>
      </c>
      <c r="E466" s="131" t="s">
        <v>197</v>
      </c>
      <c r="F466" s="131">
        <v>30</v>
      </c>
      <c r="G466" s="131" t="s">
        <v>195</v>
      </c>
      <c r="H466" s="145" t="s">
        <v>435</v>
      </c>
    </row>
    <row r="467" spans="2:8" ht="15" customHeight="1">
      <c r="B467" s="230"/>
      <c r="C467" s="144" t="s">
        <v>430</v>
      </c>
      <c r="D467" s="131">
        <v>63</v>
      </c>
      <c r="E467" s="131" t="s">
        <v>197</v>
      </c>
      <c r="F467" s="131">
        <v>58</v>
      </c>
      <c r="G467" s="131" t="s">
        <v>195</v>
      </c>
      <c r="H467" s="145" t="s">
        <v>435</v>
      </c>
    </row>
    <row r="468" spans="2:8" ht="15" customHeight="1">
      <c r="B468" s="230"/>
      <c r="C468" s="144" t="s">
        <v>430</v>
      </c>
      <c r="D468" s="131">
        <v>63</v>
      </c>
      <c r="E468" s="131" t="s">
        <v>197</v>
      </c>
      <c r="F468" s="131">
        <v>60</v>
      </c>
      <c r="G468" s="131" t="s">
        <v>195</v>
      </c>
      <c r="H468" s="145" t="s">
        <v>435</v>
      </c>
    </row>
    <row r="469" spans="2:8" ht="15" customHeight="1">
      <c r="B469" s="230"/>
      <c r="C469" s="144" t="s">
        <v>430</v>
      </c>
      <c r="D469" s="131">
        <v>63</v>
      </c>
      <c r="E469" s="131" t="s">
        <v>197</v>
      </c>
      <c r="F469" s="131">
        <v>77</v>
      </c>
      <c r="G469" s="131" t="s">
        <v>195</v>
      </c>
      <c r="H469" s="145" t="s">
        <v>435</v>
      </c>
    </row>
    <row r="470" spans="2:8" ht="15" customHeight="1">
      <c r="B470" s="230"/>
      <c r="C470" s="144" t="s">
        <v>430</v>
      </c>
      <c r="D470" s="131">
        <v>63</v>
      </c>
      <c r="E470" s="131" t="s">
        <v>197</v>
      </c>
      <c r="F470" s="131">
        <v>60</v>
      </c>
      <c r="G470" s="131" t="s">
        <v>195</v>
      </c>
      <c r="H470" s="145" t="s">
        <v>435</v>
      </c>
    </row>
    <row r="471" spans="2:8" ht="15" customHeight="1">
      <c r="B471" s="230"/>
      <c r="C471" s="144" t="s">
        <v>430</v>
      </c>
      <c r="D471" s="131">
        <v>63</v>
      </c>
      <c r="E471" s="131" t="s">
        <v>197</v>
      </c>
      <c r="F471" s="131">
        <v>80</v>
      </c>
      <c r="G471" s="131" t="s">
        <v>195</v>
      </c>
      <c r="H471" s="145" t="s">
        <v>435</v>
      </c>
    </row>
    <row r="472" spans="2:8" ht="15" customHeight="1">
      <c r="B472" s="230"/>
      <c r="C472" s="144" t="s">
        <v>430</v>
      </c>
      <c r="D472" s="131">
        <v>63</v>
      </c>
      <c r="E472" s="131" t="s">
        <v>197</v>
      </c>
      <c r="F472" s="131">
        <v>500</v>
      </c>
      <c r="G472" s="131" t="s">
        <v>195</v>
      </c>
      <c r="H472" s="145" t="s">
        <v>435</v>
      </c>
    </row>
    <row r="473" spans="2:8" ht="15" customHeight="1">
      <c r="B473" s="230"/>
      <c r="C473" s="144" t="s">
        <v>430</v>
      </c>
      <c r="D473" s="131">
        <v>63</v>
      </c>
      <c r="E473" s="131" t="s">
        <v>197</v>
      </c>
      <c r="F473" s="131">
        <v>600</v>
      </c>
      <c r="G473" s="131" t="s">
        <v>195</v>
      </c>
      <c r="H473" s="145" t="s">
        <v>435</v>
      </c>
    </row>
    <row r="474" spans="2:8" ht="15" customHeight="1">
      <c r="B474" s="230"/>
      <c r="C474" s="144" t="s">
        <v>430</v>
      </c>
      <c r="D474" s="131">
        <v>63</v>
      </c>
      <c r="E474" s="131" t="s">
        <v>197</v>
      </c>
      <c r="F474" s="131">
        <v>68</v>
      </c>
      <c r="G474" s="131" t="s">
        <v>195</v>
      </c>
      <c r="H474" s="145" t="s">
        <v>435</v>
      </c>
    </row>
    <row r="475" spans="2:8" ht="15" customHeight="1">
      <c r="B475" s="230"/>
      <c r="C475" s="144" t="s">
        <v>430</v>
      </c>
      <c r="D475" s="131">
        <v>63</v>
      </c>
      <c r="E475" s="131" t="s">
        <v>197</v>
      </c>
      <c r="F475" s="131">
        <v>54.05</v>
      </c>
      <c r="G475" s="131" t="s">
        <v>195</v>
      </c>
      <c r="H475" s="145" t="s">
        <v>435</v>
      </c>
    </row>
    <row r="476" spans="2:8" ht="15" customHeight="1">
      <c r="B476" s="230"/>
      <c r="C476" s="144" t="s">
        <v>430</v>
      </c>
      <c r="D476" s="131">
        <v>63</v>
      </c>
      <c r="E476" s="131" t="s">
        <v>197</v>
      </c>
      <c r="F476" s="131">
        <v>54.55</v>
      </c>
      <c r="G476" s="131" t="s">
        <v>195</v>
      </c>
      <c r="H476" s="145" t="s">
        <v>435</v>
      </c>
    </row>
    <row r="477" spans="2:8" ht="15" customHeight="1">
      <c r="B477" s="230"/>
      <c r="C477" s="144" t="s">
        <v>430</v>
      </c>
      <c r="D477" s="131">
        <v>63</v>
      </c>
      <c r="E477" s="131" t="s">
        <v>197</v>
      </c>
      <c r="F477" s="131">
        <v>91</v>
      </c>
      <c r="G477" s="131" t="s">
        <v>195</v>
      </c>
      <c r="H477" s="145" t="s">
        <v>435</v>
      </c>
    </row>
    <row r="478" spans="2:8" ht="15" customHeight="1">
      <c r="B478" s="230"/>
      <c r="C478" s="144" t="s">
        <v>430</v>
      </c>
      <c r="D478" s="131">
        <v>63</v>
      </c>
      <c r="E478" s="131" t="s">
        <v>197</v>
      </c>
      <c r="F478" s="131">
        <v>49</v>
      </c>
      <c r="G478" s="131" t="s">
        <v>195</v>
      </c>
      <c r="H478" s="145" t="s">
        <v>435</v>
      </c>
    </row>
    <row r="479" spans="2:8" ht="15" customHeight="1">
      <c r="B479" s="230"/>
      <c r="C479" s="144" t="s">
        <v>430</v>
      </c>
      <c r="D479" s="131">
        <v>63</v>
      </c>
      <c r="E479" s="131" t="s">
        <v>197</v>
      </c>
      <c r="F479" s="131">
        <v>46</v>
      </c>
      <c r="G479" s="131" t="s">
        <v>195</v>
      </c>
      <c r="H479" s="145" t="s">
        <v>435</v>
      </c>
    </row>
    <row r="480" spans="2:8" ht="15" customHeight="1">
      <c r="B480" s="230"/>
      <c r="C480" s="144" t="s">
        <v>430</v>
      </c>
      <c r="D480" s="131">
        <v>63</v>
      </c>
      <c r="E480" s="131" t="s">
        <v>197</v>
      </c>
      <c r="F480" s="131">
        <v>61</v>
      </c>
      <c r="G480" s="131" t="s">
        <v>195</v>
      </c>
      <c r="H480" s="145" t="s">
        <v>435</v>
      </c>
    </row>
    <row r="481" spans="2:8" ht="15" customHeight="1">
      <c r="B481" s="230"/>
      <c r="C481" s="144" t="s">
        <v>430</v>
      </c>
      <c r="D481" s="131">
        <v>63</v>
      </c>
      <c r="E481" s="131" t="s">
        <v>197</v>
      </c>
      <c r="F481" s="131">
        <v>35.700000000000003</v>
      </c>
      <c r="G481" s="131" t="s">
        <v>195</v>
      </c>
      <c r="H481" s="145" t="s">
        <v>435</v>
      </c>
    </row>
    <row r="482" spans="2:8" ht="15" customHeight="1">
      <c r="B482" s="230"/>
      <c r="C482" s="144" t="s">
        <v>430</v>
      </c>
      <c r="D482" s="131">
        <v>63</v>
      </c>
      <c r="E482" s="131" t="s">
        <v>197</v>
      </c>
      <c r="F482" s="131">
        <v>56</v>
      </c>
      <c r="G482" s="131" t="s">
        <v>195</v>
      </c>
      <c r="H482" s="145" t="s">
        <v>435</v>
      </c>
    </row>
    <row r="483" spans="2:8" ht="15" customHeight="1">
      <c r="B483" s="230"/>
      <c r="C483" s="144" t="s">
        <v>430</v>
      </c>
      <c r="D483" s="131">
        <v>63</v>
      </c>
      <c r="E483" s="131" t="s">
        <v>197</v>
      </c>
      <c r="F483" s="131">
        <v>76.900000000000006</v>
      </c>
      <c r="G483" s="131" t="s">
        <v>195</v>
      </c>
      <c r="H483" s="145" t="s">
        <v>435</v>
      </c>
    </row>
    <row r="484" spans="2:8" ht="15" customHeight="1">
      <c r="B484" s="230"/>
      <c r="C484" s="144" t="s">
        <v>430</v>
      </c>
      <c r="D484" s="131">
        <v>63</v>
      </c>
      <c r="E484" s="131" t="s">
        <v>197</v>
      </c>
      <c r="F484" s="131">
        <v>72.7</v>
      </c>
      <c r="G484" s="131" t="s">
        <v>195</v>
      </c>
      <c r="H484" s="145" t="s">
        <v>435</v>
      </c>
    </row>
    <row r="485" spans="2:8" ht="15" customHeight="1">
      <c r="B485" s="230"/>
      <c r="C485" s="144" t="s">
        <v>430</v>
      </c>
      <c r="D485" s="131">
        <v>63</v>
      </c>
      <c r="E485" s="131" t="s">
        <v>197</v>
      </c>
      <c r="F485" s="131">
        <v>24.7</v>
      </c>
      <c r="G485" s="131" t="s">
        <v>195</v>
      </c>
      <c r="H485" s="145" t="s">
        <v>435</v>
      </c>
    </row>
    <row r="486" spans="2:8" ht="15" customHeight="1">
      <c r="B486" s="230"/>
      <c r="C486" s="144" t="s">
        <v>430</v>
      </c>
      <c r="D486" s="131">
        <v>63</v>
      </c>
      <c r="E486" s="131" t="s">
        <v>197</v>
      </c>
      <c r="F486" s="131">
        <v>32.54</v>
      </c>
      <c r="G486" s="131" t="s">
        <v>195</v>
      </c>
      <c r="H486" s="145" t="s">
        <v>435</v>
      </c>
    </row>
    <row r="487" spans="2:8" ht="15" customHeight="1">
      <c r="B487" s="230"/>
      <c r="C487" s="144" t="s">
        <v>430</v>
      </c>
      <c r="D487" s="131">
        <v>63</v>
      </c>
      <c r="E487" s="131" t="s">
        <v>197</v>
      </c>
      <c r="F487" s="131">
        <v>42</v>
      </c>
      <c r="G487" s="131" t="s">
        <v>195</v>
      </c>
      <c r="H487" s="145" t="s">
        <v>435</v>
      </c>
    </row>
    <row r="488" spans="2:8" ht="15" customHeight="1">
      <c r="B488" s="230"/>
      <c r="C488" s="144" t="s">
        <v>430</v>
      </c>
      <c r="D488" s="131">
        <v>63</v>
      </c>
      <c r="E488" s="131" t="s">
        <v>197</v>
      </c>
      <c r="F488" s="131">
        <v>66</v>
      </c>
      <c r="G488" s="131" t="s">
        <v>195</v>
      </c>
      <c r="H488" s="145" t="s">
        <v>435</v>
      </c>
    </row>
    <row r="489" spans="2:8" ht="15" customHeight="1">
      <c r="B489" s="230"/>
      <c r="C489" s="144" t="s">
        <v>430</v>
      </c>
      <c r="D489" s="131">
        <v>63</v>
      </c>
      <c r="E489" s="131" t="s">
        <v>197</v>
      </c>
      <c r="F489" s="131">
        <v>115</v>
      </c>
      <c r="G489" s="131" t="s">
        <v>195</v>
      </c>
      <c r="H489" s="145" t="s">
        <v>435</v>
      </c>
    </row>
    <row r="490" spans="2:8" ht="15" customHeight="1">
      <c r="B490" s="230"/>
      <c r="C490" s="144" t="s">
        <v>430</v>
      </c>
      <c r="D490" s="131">
        <v>63</v>
      </c>
      <c r="E490" s="131" t="s">
        <v>197</v>
      </c>
      <c r="F490" s="131">
        <v>17</v>
      </c>
      <c r="G490" s="131" t="s">
        <v>195</v>
      </c>
      <c r="H490" s="145" t="s">
        <v>435</v>
      </c>
    </row>
    <row r="491" spans="2:8" ht="15" customHeight="1">
      <c r="B491" s="230"/>
      <c r="C491" s="144" t="s">
        <v>430</v>
      </c>
      <c r="D491" s="131">
        <v>75</v>
      </c>
      <c r="E491" s="131" t="s">
        <v>197</v>
      </c>
      <c r="F491" s="131">
        <v>156</v>
      </c>
      <c r="G491" s="131" t="s">
        <v>195</v>
      </c>
      <c r="H491" s="145" t="s">
        <v>435</v>
      </c>
    </row>
    <row r="492" spans="2:8" ht="15" customHeight="1">
      <c r="B492" s="230"/>
      <c r="C492" s="144" t="s">
        <v>430</v>
      </c>
      <c r="D492" s="131">
        <v>75</v>
      </c>
      <c r="E492" s="131" t="s">
        <v>197</v>
      </c>
      <c r="F492" s="131">
        <v>35.799999999999997</v>
      </c>
      <c r="G492" s="131" t="s">
        <v>195</v>
      </c>
      <c r="H492" s="145" t="s">
        <v>435</v>
      </c>
    </row>
    <row r="493" spans="2:8" ht="15" customHeight="1">
      <c r="B493" s="230"/>
      <c r="C493" s="144" t="s">
        <v>430</v>
      </c>
      <c r="D493" s="131">
        <v>75</v>
      </c>
      <c r="E493" s="131" t="s">
        <v>197</v>
      </c>
      <c r="F493" s="131">
        <v>45.5</v>
      </c>
      <c r="G493" s="131" t="s">
        <v>195</v>
      </c>
      <c r="H493" s="145" t="s">
        <v>435</v>
      </c>
    </row>
    <row r="494" spans="2:8" ht="15" customHeight="1">
      <c r="B494" s="230"/>
      <c r="C494" s="144" t="s">
        <v>430</v>
      </c>
      <c r="D494" s="131">
        <v>75</v>
      </c>
      <c r="E494" s="131" t="s">
        <v>197</v>
      </c>
      <c r="F494" s="131">
        <v>48</v>
      </c>
      <c r="G494" s="131" t="s">
        <v>195</v>
      </c>
      <c r="H494" s="145" t="s">
        <v>435</v>
      </c>
    </row>
    <row r="495" spans="2:8" ht="15" customHeight="1">
      <c r="B495" s="230"/>
      <c r="C495" s="144" t="s">
        <v>430</v>
      </c>
      <c r="D495" s="131">
        <v>75</v>
      </c>
      <c r="E495" s="131" t="s">
        <v>197</v>
      </c>
      <c r="F495" s="131">
        <v>140</v>
      </c>
      <c r="G495" s="131" t="s">
        <v>195</v>
      </c>
      <c r="H495" s="145" t="s">
        <v>435</v>
      </c>
    </row>
    <row r="496" spans="2:8" ht="15" customHeight="1">
      <c r="B496" s="230"/>
      <c r="C496" s="144" t="s">
        <v>430</v>
      </c>
      <c r="D496" s="131">
        <v>75</v>
      </c>
      <c r="E496" s="131" t="s">
        <v>197</v>
      </c>
      <c r="F496" s="131">
        <v>76</v>
      </c>
      <c r="G496" s="131" t="s">
        <v>195</v>
      </c>
      <c r="H496" s="145" t="s">
        <v>435</v>
      </c>
    </row>
    <row r="497" spans="2:8" ht="15" customHeight="1">
      <c r="B497" s="230"/>
      <c r="C497" s="144" t="s">
        <v>430</v>
      </c>
      <c r="D497" s="131">
        <v>75</v>
      </c>
      <c r="E497" s="131" t="s">
        <v>197</v>
      </c>
      <c r="F497" s="131">
        <v>75</v>
      </c>
      <c r="G497" s="131" t="s">
        <v>195</v>
      </c>
      <c r="H497" s="145" t="s">
        <v>435</v>
      </c>
    </row>
    <row r="498" spans="2:8" ht="15" customHeight="1">
      <c r="B498" s="230"/>
      <c r="C498" s="144" t="s">
        <v>430</v>
      </c>
      <c r="D498" s="131">
        <v>75</v>
      </c>
      <c r="E498" s="131" t="s">
        <v>197</v>
      </c>
      <c r="F498" s="131">
        <v>131.26</v>
      </c>
      <c r="G498" s="131" t="s">
        <v>195</v>
      </c>
      <c r="H498" s="145" t="s">
        <v>435</v>
      </c>
    </row>
    <row r="499" spans="2:8" ht="15" customHeight="1">
      <c r="B499" s="230"/>
      <c r="C499" s="144" t="s">
        <v>430</v>
      </c>
      <c r="D499" s="131">
        <v>75</v>
      </c>
      <c r="E499" s="131" t="s">
        <v>197</v>
      </c>
      <c r="F499" s="131">
        <v>94.49</v>
      </c>
      <c r="G499" s="131" t="s">
        <v>195</v>
      </c>
      <c r="H499" s="145" t="s">
        <v>435</v>
      </c>
    </row>
    <row r="500" spans="2:8" ht="15" customHeight="1">
      <c r="B500" s="230"/>
      <c r="C500" s="144" t="s">
        <v>430</v>
      </c>
      <c r="D500" s="131">
        <v>75</v>
      </c>
      <c r="E500" s="131" t="s">
        <v>197</v>
      </c>
      <c r="F500" s="131">
        <v>70.28</v>
      </c>
      <c r="G500" s="131" t="s">
        <v>195</v>
      </c>
      <c r="H500" s="145" t="s">
        <v>435</v>
      </c>
    </row>
    <row r="501" spans="2:8" ht="15" customHeight="1">
      <c r="B501" s="230"/>
      <c r="C501" s="144" t="s">
        <v>430</v>
      </c>
      <c r="D501" s="131">
        <v>75</v>
      </c>
      <c r="E501" s="131" t="s">
        <v>197</v>
      </c>
      <c r="F501" s="131">
        <v>68.290000000000006</v>
      </c>
      <c r="G501" s="131" t="s">
        <v>195</v>
      </c>
      <c r="H501" s="145" t="s">
        <v>435</v>
      </c>
    </row>
    <row r="502" spans="2:8" ht="15" customHeight="1">
      <c r="B502" s="230"/>
      <c r="C502" s="144" t="s">
        <v>430</v>
      </c>
      <c r="D502" s="131">
        <v>75</v>
      </c>
      <c r="E502" s="131" t="s">
        <v>197</v>
      </c>
      <c r="F502" s="131">
        <v>28</v>
      </c>
      <c r="G502" s="131" t="s">
        <v>195</v>
      </c>
      <c r="H502" s="145" t="s">
        <v>435</v>
      </c>
    </row>
    <row r="503" spans="2:8" ht="15" customHeight="1">
      <c r="B503" s="230"/>
      <c r="C503" s="144" t="s">
        <v>430</v>
      </c>
      <c r="D503" s="131">
        <v>75</v>
      </c>
      <c r="E503" s="131" t="s">
        <v>197</v>
      </c>
      <c r="F503" s="131">
        <v>38</v>
      </c>
      <c r="G503" s="131" t="s">
        <v>195</v>
      </c>
      <c r="H503" s="145" t="s">
        <v>435</v>
      </c>
    </row>
    <row r="504" spans="2:8" ht="15" customHeight="1">
      <c r="B504" s="230"/>
      <c r="C504" s="144" t="s">
        <v>430</v>
      </c>
      <c r="D504" s="131">
        <v>75</v>
      </c>
      <c r="E504" s="131" t="s">
        <v>197</v>
      </c>
      <c r="F504" s="131">
        <v>204.5</v>
      </c>
      <c r="G504" s="131" t="s">
        <v>195</v>
      </c>
      <c r="H504" s="145" t="s">
        <v>435</v>
      </c>
    </row>
    <row r="505" spans="2:8" ht="15" customHeight="1">
      <c r="B505" s="230"/>
      <c r="C505" s="144" t="s">
        <v>430</v>
      </c>
      <c r="D505" s="131">
        <v>75</v>
      </c>
      <c r="E505" s="131" t="s">
        <v>197</v>
      </c>
      <c r="F505" s="131">
        <v>67.25</v>
      </c>
      <c r="G505" s="131" t="s">
        <v>195</v>
      </c>
      <c r="H505" s="145" t="s">
        <v>435</v>
      </c>
    </row>
    <row r="506" spans="2:8" ht="15" customHeight="1">
      <c r="B506" s="230"/>
      <c r="C506" s="144" t="s">
        <v>430</v>
      </c>
      <c r="D506" s="131">
        <v>75</v>
      </c>
      <c r="E506" s="131" t="s">
        <v>197</v>
      </c>
      <c r="F506" s="131">
        <v>47.58</v>
      </c>
      <c r="G506" s="131" t="s">
        <v>195</v>
      </c>
      <c r="H506" s="145" t="s">
        <v>435</v>
      </c>
    </row>
    <row r="507" spans="2:8" ht="15" customHeight="1">
      <c r="B507" s="230"/>
      <c r="C507" s="144" t="s">
        <v>430</v>
      </c>
      <c r="D507" s="131">
        <v>75</v>
      </c>
      <c r="E507" s="131" t="s">
        <v>197</v>
      </c>
      <c r="F507" s="131">
        <v>130.63</v>
      </c>
      <c r="G507" s="131" t="s">
        <v>195</v>
      </c>
      <c r="H507" s="145" t="s">
        <v>435</v>
      </c>
    </row>
    <row r="508" spans="2:8" ht="15" customHeight="1">
      <c r="B508" s="230"/>
      <c r="C508" s="144" t="s">
        <v>430</v>
      </c>
      <c r="D508" s="131">
        <v>75</v>
      </c>
      <c r="E508" s="131" t="s">
        <v>197</v>
      </c>
      <c r="F508" s="131">
        <v>61</v>
      </c>
      <c r="G508" s="131" t="s">
        <v>195</v>
      </c>
      <c r="H508" s="145" t="s">
        <v>435</v>
      </c>
    </row>
    <row r="509" spans="2:8" ht="15" customHeight="1">
      <c r="B509" s="230"/>
      <c r="C509" s="144" t="s">
        <v>430</v>
      </c>
      <c r="D509" s="131">
        <v>75</v>
      </c>
      <c r="E509" s="131" t="s">
        <v>197</v>
      </c>
      <c r="F509" s="131">
        <v>172</v>
      </c>
      <c r="G509" s="131" t="s">
        <v>195</v>
      </c>
      <c r="H509" s="145" t="s">
        <v>435</v>
      </c>
    </row>
    <row r="510" spans="2:8" ht="15" customHeight="1">
      <c r="B510" s="230"/>
      <c r="C510" s="144" t="s">
        <v>430</v>
      </c>
      <c r="D510" s="131">
        <v>75</v>
      </c>
      <c r="E510" s="131" t="s">
        <v>197</v>
      </c>
      <c r="F510" s="131">
        <v>26.3</v>
      </c>
      <c r="G510" s="131" t="s">
        <v>195</v>
      </c>
      <c r="H510" s="145" t="s">
        <v>435</v>
      </c>
    </row>
    <row r="511" spans="2:8" ht="15" customHeight="1">
      <c r="B511" s="230"/>
      <c r="C511" s="144" t="s">
        <v>430</v>
      </c>
      <c r="D511" s="131">
        <v>75</v>
      </c>
      <c r="E511" s="131" t="s">
        <v>197</v>
      </c>
      <c r="F511" s="131">
        <v>418</v>
      </c>
      <c r="G511" s="131" t="s">
        <v>195</v>
      </c>
      <c r="H511" s="145" t="s">
        <v>435</v>
      </c>
    </row>
    <row r="512" spans="2:8" ht="15" customHeight="1">
      <c r="B512" s="230"/>
      <c r="C512" s="144" t="s">
        <v>430</v>
      </c>
      <c r="D512" s="131">
        <v>75</v>
      </c>
      <c r="E512" s="131" t="s">
        <v>197</v>
      </c>
      <c r="F512" s="131">
        <v>80</v>
      </c>
      <c r="G512" s="131" t="s">
        <v>195</v>
      </c>
      <c r="H512" s="145" t="s">
        <v>435</v>
      </c>
    </row>
    <row r="513" spans="2:8" ht="15" customHeight="1">
      <c r="B513" s="230"/>
      <c r="C513" s="144" t="s">
        <v>430</v>
      </c>
      <c r="D513" s="131">
        <v>75</v>
      </c>
      <c r="E513" s="131" t="s">
        <v>197</v>
      </c>
      <c r="F513" s="131">
        <v>74</v>
      </c>
      <c r="G513" s="131" t="s">
        <v>195</v>
      </c>
      <c r="H513" s="145" t="s">
        <v>435</v>
      </c>
    </row>
    <row r="514" spans="2:8" ht="15" customHeight="1">
      <c r="B514" s="230"/>
      <c r="C514" s="144" t="s">
        <v>430</v>
      </c>
      <c r="D514" s="131">
        <v>90</v>
      </c>
      <c r="E514" s="131" t="s">
        <v>197</v>
      </c>
      <c r="F514" s="131">
        <v>183</v>
      </c>
      <c r="G514" s="131" t="s">
        <v>195</v>
      </c>
      <c r="H514" s="145" t="s">
        <v>435</v>
      </c>
    </row>
    <row r="515" spans="2:8" ht="15" customHeight="1">
      <c r="B515" s="230"/>
      <c r="C515" s="144" t="s">
        <v>430</v>
      </c>
      <c r="D515" s="131">
        <v>90</v>
      </c>
      <c r="E515" s="131" t="s">
        <v>197</v>
      </c>
      <c r="F515" s="131">
        <v>1446</v>
      </c>
      <c r="G515" s="131" t="s">
        <v>195</v>
      </c>
      <c r="H515" s="145" t="s">
        <v>435</v>
      </c>
    </row>
    <row r="516" spans="2:8" ht="15" customHeight="1">
      <c r="B516" s="230"/>
      <c r="C516" s="144" t="s">
        <v>430</v>
      </c>
      <c r="D516" s="131">
        <v>90</v>
      </c>
      <c r="E516" s="131" t="s">
        <v>197</v>
      </c>
      <c r="F516" s="131">
        <v>82</v>
      </c>
      <c r="G516" s="131" t="s">
        <v>195</v>
      </c>
      <c r="H516" s="145" t="s">
        <v>435</v>
      </c>
    </row>
    <row r="517" spans="2:8" ht="15" customHeight="1">
      <c r="B517" s="230"/>
      <c r="C517" s="144" t="s">
        <v>430</v>
      </c>
      <c r="D517" s="131">
        <v>90</v>
      </c>
      <c r="E517" s="131" t="s">
        <v>197</v>
      </c>
      <c r="F517" s="131">
        <v>280</v>
      </c>
      <c r="G517" s="131" t="s">
        <v>195</v>
      </c>
      <c r="H517" s="145" t="s">
        <v>435</v>
      </c>
    </row>
    <row r="518" spans="2:8" ht="15" customHeight="1">
      <c r="B518" s="230"/>
      <c r="C518" s="144" t="s">
        <v>430</v>
      </c>
      <c r="D518" s="131">
        <v>90</v>
      </c>
      <c r="E518" s="131" t="s">
        <v>197</v>
      </c>
      <c r="F518" s="131">
        <v>154</v>
      </c>
      <c r="G518" s="131" t="s">
        <v>195</v>
      </c>
      <c r="H518" s="145" t="s">
        <v>435</v>
      </c>
    </row>
    <row r="519" spans="2:8" ht="15" customHeight="1">
      <c r="B519" s="230"/>
      <c r="C519" s="144" t="s">
        <v>430</v>
      </c>
      <c r="D519" s="131">
        <v>90</v>
      </c>
      <c r="E519" s="131" t="s">
        <v>197</v>
      </c>
      <c r="F519" s="131">
        <v>127</v>
      </c>
      <c r="G519" s="131" t="s">
        <v>195</v>
      </c>
      <c r="H519" s="145" t="s">
        <v>435</v>
      </c>
    </row>
    <row r="520" spans="2:8" ht="15" customHeight="1">
      <c r="B520" s="230"/>
      <c r="C520" s="144" t="s">
        <v>430</v>
      </c>
      <c r="D520" s="131">
        <v>90</v>
      </c>
      <c r="E520" s="131" t="s">
        <v>197</v>
      </c>
      <c r="F520" s="131">
        <v>109</v>
      </c>
      <c r="G520" s="131" t="s">
        <v>195</v>
      </c>
      <c r="H520" s="145" t="s">
        <v>435</v>
      </c>
    </row>
    <row r="521" spans="2:8" ht="15" customHeight="1">
      <c r="B521" s="230"/>
      <c r="C521" s="144" t="s">
        <v>430</v>
      </c>
      <c r="D521" s="131">
        <v>90</v>
      </c>
      <c r="E521" s="131" t="s">
        <v>197</v>
      </c>
      <c r="F521" s="131">
        <v>18</v>
      </c>
      <c r="G521" s="131" t="s">
        <v>195</v>
      </c>
      <c r="H521" s="145" t="s">
        <v>435</v>
      </c>
    </row>
    <row r="522" spans="2:8" ht="15" customHeight="1">
      <c r="B522" s="230"/>
      <c r="C522" s="144" t="s">
        <v>430</v>
      </c>
      <c r="D522" s="131">
        <v>90</v>
      </c>
      <c r="E522" s="131" t="s">
        <v>197</v>
      </c>
      <c r="F522" s="131">
        <v>16</v>
      </c>
      <c r="G522" s="131" t="s">
        <v>195</v>
      </c>
      <c r="H522" s="145" t="s">
        <v>435</v>
      </c>
    </row>
    <row r="523" spans="2:8" ht="15" customHeight="1">
      <c r="B523" s="230"/>
      <c r="C523" s="144" t="s">
        <v>430</v>
      </c>
      <c r="D523" s="131">
        <v>90</v>
      </c>
      <c r="E523" s="131" t="s">
        <v>197</v>
      </c>
      <c r="F523" s="131">
        <v>60</v>
      </c>
      <c r="G523" s="131" t="s">
        <v>195</v>
      </c>
      <c r="H523" s="145" t="s">
        <v>435</v>
      </c>
    </row>
    <row r="524" spans="2:8" ht="15" customHeight="1">
      <c r="B524" s="230"/>
      <c r="C524" s="144" t="s">
        <v>430</v>
      </c>
      <c r="D524" s="131">
        <v>90</v>
      </c>
      <c r="E524" s="131" t="s">
        <v>197</v>
      </c>
      <c r="F524" s="131">
        <v>28</v>
      </c>
      <c r="G524" s="131" t="s">
        <v>195</v>
      </c>
      <c r="H524" s="145" t="s">
        <v>435</v>
      </c>
    </row>
    <row r="525" spans="2:8" ht="15" customHeight="1">
      <c r="B525" s="230"/>
      <c r="C525" s="144" t="s">
        <v>430</v>
      </c>
      <c r="D525" s="131">
        <v>90</v>
      </c>
      <c r="E525" s="131" t="s">
        <v>197</v>
      </c>
      <c r="F525" s="131">
        <v>141</v>
      </c>
      <c r="G525" s="131" t="s">
        <v>195</v>
      </c>
      <c r="H525" s="145" t="s">
        <v>435</v>
      </c>
    </row>
    <row r="526" spans="2:8" ht="15" customHeight="1">
      <c r="B526" s="230"/>
      <c r="C526" s="144" t="s">
        <v>430</v>
      </c>
      <c r="D526" s="131">
        <v>90</v>
      </c>
      <c r="E526" s="131" t="s">
        <v>197</v>
      </c>
      <c r="F526" s="131">
        <v>520</v>
      </c>
      <c r="G526" s="131" t="s">
        <v>195</v>
      </c>
      <c r="H526" s="145" t="s">
        <v>435</v>
      </c>
    </row>
    <row r="527" spans="2:8" ht="15" customHeight="1">
      <c r="B527" s="230"/>
      <c r="C527" s="144" t="s">
        <v>430</v>
      </c>
      <c r="D527" s="131">
        <v>90</v>
      </c>
      <c r="E527" s="131" t="s">
        <v>197</v>
      </c>
      <c r="F527" s="131">
        <v>228</v>
      </c>
      <c r="G527" s="131" t="s">
        <v>195</v>
      </c>
      <c r="H527" s="145" t="s">
        <v>435</v>
      </c>
    </row>
    <row r="528" spans="2:8" ht="15" customHeight="1">
      <c r="B528" s="230"/>
      <c r="C528" s="144" t="s">
        <v>430</v>
      </c>
      <c r="D528" s="131">
        <v>90</v>
      </c>
      <c r="E528" s="131" t="s">
        <v>197</v>
      </c>
      <c r="F528" s="131">
        <v>96.39</v>
      </c>
      <c r="G528" s="131" t="s">
        <v>195</v>
      </c>
      <c r="H528" s="145" t="s">
        <v>435</v>
      </c>
    </row>
    <row r="529" spans="2:8" ht="15" customHeight="1">
      <c r="B529" s="230"/>
      <c r="C529" s="144" t="s">
        <v>430</v>
      </c>
      <c r="D529" s="131">
        <v>90</v>
      </c>
      <c r="E529" s="131" t="s">
        <v>197</v>
      </c>
      <c r="F529" s="131">
        <v>100</v>
      </c>
      <c r="G529" s="131" t="s">
        <v>195</v>
      </c>
      <c r="H529" s="145" t="s">
        <v>435</v>
      </c>
    </row>
    <row r="530" spans="2:8" ht="15" customHeight="1">
      <c r="B530" s="230"/>
      <c r="C530" s="144" t="s">
        <v>430</v>
      </c>
      <c r="D530" s="131">
        <v>90</v>
      </c>
      <c r="E530" s="131" t="s">
        <v>197</v>
      </c>
      <c r="F530" s="131">
        <v>1550</v>
      </c>
      <c r="G530" s="131" t="s">
        <v>195</v>
      </c>
      <c r="H530" s="145" t="s">
        <v>435</v>
      </c>
    </row>
    <row r="531" spans="2:8" ht="15" customHeight="1">
      <c r="B531" s="230"/>
      <c r="C531" s="144" t="s">
        <v>430</v>
      </c>
      <c r="D531" s="131">
        <v>110</v>
      </c>
      <c r="E531" s="131" t="s">
        <v>197</v>
      </c>
      <c r="F531" s="131">
        <v>18</v>
      </c>
      <c r="G531" s="131" t="s">
        <v>195</v>
      </c>
      <c r="H531" s="145" t="s">
        <v>435</v>
      </c>
    </row>
    <row r="532" spans="2:8" ht="15" customHeight="1">
      <c r="B532" s="230"/>
      <c r="C532" s="144" t="s">
        <v>430</v>
      </c>
      <c r="D532" s="131">
        <v>110</v>
      </c>
      <c r="E532" s="131" t="s">
        <v>197</v>
      </c>
      <c r="F532" s="131">
        <v>1360</v>
      </c>
      <c r="G532" s="131" t="s">
        <v>195</v>
      </c>
      <c r="H532" s="145" t="s">
        <v>435</v>
      </c>
    </row>
    <row r="533" spans="2:8" ht="15" customHeight="1">
      <c r="B533" s="230"/>
      <c r="C533" s="144" t="s">
        <v>430</v>
      </c>
      <c r="D533" s="131">
        <v>110</v>
      </c>
      <c r="E533" s="131" t="s">
        <v>197</v>
      </c>
      <c r="F533" s="131">
        <v>598</v>
      </c>
      <c r="G533" s="131" t="s">
        <v>195</v>
      </c>
      <c r="H533" s="145" t="s">
        <v>435</v>
      </c>
    </row>
    <row r="534" spans="2:8" ht="15" customHeight="1">
      <c r="B534" s="230"/>
      <c r="C534" s="144" t="s">
        <v>430</v>
      </c>
      <c r="D534" s="131">
        <v>125</v>
      </c>
      <c r="E534" s="131" t="s">
        <v>197</v>
      </c>
      <c r="F534" s="131">
        <v>420</v>
      </c>
      <c r="G534" s="131" t="s">
        <v>195</v>
      </c>
      <c r="H534" s="145" t="s">
        <v>435</v>
      </c>
    </row>
    <row r="535" spans="2:8" ht="15" customHeight="1">
      <c r="B535" s="230"/>
      <c r="C535" s="144" t="s">
        <v>430</v>
      </c>
      <c r="D535" s="131">
        <v>125</v>
      </c>
      <c r="E535" s="131" t="s">
        <v>197</v>
      </c>
      <c r="F535" s="131">
        <v>196</v>
      </c>
      <c r="G535" s="131" t="s">
        <v>195</v>
      </c>
      <c r="H535" s="145" t="s">
        <v>435</v>
      </c>
    </row>
    <row r="536" spans="2:8" ht="15" customHeight="1">
      <c r="B536" s="230"/>
      <c r="C536" s="144" t="s">
        <v>430</v>
      </c>
      <c r="D536" s="131">
        <v>125</v>
      </c>
      <c r="E536" s="131" t="s">
        <v>197</v>
      </c>
      <c r="F536" s="131">
        <v>100</v>
      </c>
      <c r="G536" s="131" t="s">
        <v>195</v>
      </c>
      <c r="H536" s="145" t="s">
        <v>435</v>
      </c>
    </row>
    <row r="537" spans="2:8" ht="15" customHeight="1">
      <c r="B537" s="230"/>
      <c r="C537" s="144" t="s">
        <v>430</v>
      </c>
      <c r="D537" s="131">
        <v>140</v>
      </c>
      <c r="E537" s="131" t="s">
        <v>197</v>
      </c>
      <c r="F537" s="131">
        <v>816</v>
      </c>
      <c r="G537" s="131" t="s">
        <v>195</v>
      </c>
      <c r="H537" s="145" t="s">
        <v>435</v>
      </c>
    </row>
    <row r="538" spans="2:8" ht="15" customHeight="1">
      <c r="B538" s="230"/>
      <c r="C538" s="144" t="s">
        <v>430</v>
      </c>
      <c r="D538" s="131">
        <v>140</v>
      </c>
      <c r="E538" s="131" t="s">
        <v>197</v>
      </c>
      <c r="F538" s="131">
        <v>54</v>
      </c>
      <c r="G538" s="131" t="s">
        <v>195</v>
      </c>
      <c r="H538" s="145" t="s">
        <v>435</v>
      </c>
    </row>
    <row r="539" spans="2:8" ht="15" customHeight="1">
      <c r="B539" s="230"/>
      <c r="C539" s="144" t="s">
        <v>430</v>
      </c>
      <c r="D539" s="131">
        <v>140</v>
      </c>
      <c r="E539" s="131" t="s">
        <v>197</v>
      </c>
      <c r="F539" s="131">
        <v>100</v>
      </c>
      <c r="G539" s="131" t="s">
        <v>195</v>
      </c>
      <c r="H539" s="145" t="s">
        <v>435</v>
      </c>
    </row>
    <row r="540" spans="2:8" ht="15" customHeight="1">
      <c r="B540" s="230"/>
      <c r="C540" s="144" t="s">
        <v>430</v>
      </c>
      <c r="D540" s="131">
        <v>160</v>
      </c>
      <c r="E540" s="131" t="s">
        <v>197</v>
      </c>
      <c r="F540" s="131">
        <v>320</v>
      </c>
      <c r="G540" s="131" t="s">
        <v>195</v>
      </c>
      <c r="H540" s="145" t="s">
        <v>435</v>
      </c>
    </row>
    <row r="541" spans="2:8" ht="15" customHeight="1">
      <c r="B541" s="230"/>
      <c r="C541" s="144" t="s">
        <v>430</v>
      </c>
      <c r="D541" s="131">
        <v>160</v>
      </c>
      <c r="E541" s="131" t="s">
        <v>197</v>
      </c>
      <c r="F541" s="131">
        <v>54</v>
      </c>
      <c r="G541" s="131" t="s">
        <v>195</v>
      </c>
      <c r="H541" s="145" t="s">
        <v>435</v>
      </c>
    </row>
    <row r="542" spans="2:8" ht="15" customHeight="1">
      <c r="B542" s="230"/>
      <c r="C542" s="144" t="s">
        <v>430</v>
      </c>
      <c r="D542" s="131">
        <v>160</v>
      </c>
      <c r="E542" s="131" t="s">
        <v>197</v>
      </c>
      <c r="F542" s="131">
        <v>220</v>
      </c>
      <c r="G542" s="131" t="s">
        <v>195</v>
      </c>
      <c r="H542" s="145" t="s">
        <v>435</v>
      </c>
    </row>
    <row r="543" spans="2:8" ht="15" customHeight="1">
      <c r="B543" s="230"/>
      <c r="C543" s="144" t="s">
        <v>430</v>
      </c>
      <c r="D543" s="131">
        <v>160</v>
      </c>
      <c r="E543" s="131" t="s">
        <v>197</v>
      </c>
      <c r="F543" s="131">
        <v>340</v>
      </c>
      <c r="G543" s="131" t="s">
        <v>195</v>
      </c>
      <c r="H543" s="145" t="s">
        <v>435</v>
      </c>
    </row>
    <row r="544" spans="2:8" ht="15" customHeight="1" thickBot="1">
      <c r="B544" s="231"/>
      <c r="C544" s="149" t="s">
        <v>430</v>
      </c>
      <c r="D544" s="150">
        <v>160</v>
      </c>
      <c r="E544" s="150" t="s">
        <v>197</v>
      </c>
      <c r="F544" s="150">
        <v>40</v>
      </c>
      <c r="G544" s="150" t="s">
        <v>195</v>
      </c>
      <c r="H544" s="151" t="s">
        <v>435</v>
      </c>
    </row>
    <row r="545" spans="2:8" ht="15" customHeight="1">
      <c r="B545" s="232" t="s">
        <v>402</v>
      </c>
      <c r="C545" s="144" t="s">
        <v>436</v>
      </c>
      <c r="D545" s="144">
        <v>200</v>
      </c>
      <c r="E545" s="144" t="s">
        <v>197</v>
      </c>
      <c r="F545" s="144">
        <v>732</v>
      </c>
      <c r="G545" s="144" t="s">
        <v>195</v>
      </c>
      <c r="H545" s="144" t="s">
        <v>198</v>
      </c>
    </row>
    <row r="546" spans="2:8" ht="15" customHeight="1">
      <c r="B546" s="233"/>
      <c r="C546" s="144" t="s">
        <v>430</v>
      </c>
      <c r="D546" s="144">
        <v>63</v>
      </c>
      <c r="E546" s="144" t="s">
        <v>200</v>
      </c>
      <c r="F546" s="144">
        <v>80</v>
      </c>
      <c r="G546" s="144" t="s">
        <v>195</v>
      </c>
      <c r="H546" s="144" t="s">
        <v>198</v>
      </c>
    </row>
    <row r="547" spans="2:8" ht="15" customHeight="1">
      <c r="B547" s="233"/>
      <c r="C547" s="144" t="s">
        <v>436</v>
      </c>
      <c r="D547" s="131">
        <v>125</v>
      </c>
      <c r="E547" s="131" t="s">
        <v>197</v>
      </c>
      <c r="F547" s="131">
        <v>700</v>
      </c>
      <c r="G547" s="131" t="s">
        <v>195</v>
      </c>
      <c r="H547" s="145" t="s">
        <v>198</v>
      </c>
    </row>
    <row r="548" spans="2:8" ht="15" customHeight="1">
      <c r="B548" s="233"/>
      <c r="C548" s="144" t="s">
        <v>436</v>
      </c>
      <c r="D548" s="131">
        <v>110</v>
      </c>
      <c r="E548" s="131" t="s">
        <v>197</v>
      </c>
      <c r="F548" s="131">
        <v>550</v>
      </c>
      <c r="G548" s="131" t="s">
        <v>195</v>
      </c>
      <c r="H548" s="145" t="s">
        <v>198</v>
      </c>
    </row>
    <row r="549" spans="2:8" ht="15" customHeight="1">
      <c r="B549" s="233"/>
      <c r="C549" s="144" t="s">
        <v>436</v>
      </c>
      <c r="D549" s="131">
        <v>90</v>
      </c>
      <c r="E549" s="131" t="s">
        <v>197</v>
      </c>
      <c r="F549" s="131">
        <v>1150</v>
      </c>
      <c r="G549" s="131" t="s">
        <v>195</v>
      </c>
      <c r="H549" s="145" t="s">
        <v>198</v>
      </c>
    </row>
    <row r="550" spans="2:8" ht="15" customHeight="1">
      <c r="B550" s="233"/>
      <c r="C550" s="144" t="s">
        <v>436</v>
      </c>
      <c r="D550" s="131">
        <v>75</v>
      </c>
      <c r="E550" s="131" t="s">
        <v>197</v>
      </c>
      <c r="F550" s="131">
        <v>1500</v>
      </c>
      <c r="G550" s="131" t="s">
        <v>195</v>
      </c>
      <c r="H550" s="145" t="s">
        <v>198</v>
      </c>
    </row>
    <row r="551" spans="2:8" ht="15" customHeight="1">
      <c r="B551" s="233"/>
      <c r="C551" s="144" t="s">
        <v>436</v>
      </c>
      <c r="D551" s="131">
        <v>63</v>
      </c>
      <c r="E551" s="131" t="s">
        <v>197</v>
      </c>
      <c r="F551" s="131">
        <v>500</v>
      </c>
      <c r="G551" s="131" t="s">
        <v>195</v>
      </c>
      <c r="H551" s="145" t="s">
        <v>198</v>
      </c>
    </row>
    <row r="552" spans="2:8" ht="15" customHeight="1">
      <c r="B552" s="233"/>
      <c r="C552" s="144" t="s">
        <v>436</v>
      </c>
      <c r="D552" s="131">
        <v>50</v>
      </c>
      <c r="E552" s="131" t="s">
        <v>197</v>
      </c>
      <c r="F552" s="131">
        <v>1500</v>
      </c>
      <c r="G552" s="131" t="s">
        <v>195</v>
      </c>
      <c r="H552" s="145" t="s">
        <v>198</v>
      </c>
    </row>
    <row r="553" spans="2:8" ht="15" customHeight="1">
      <c r="B553" s="233"/>
      <c r="C553" s="144" t="s">
        <v>436</v>
      </c>
      <c r="D553" s="131">
        <v>63</v>
      </c>
      <c r="E553" s="131" t="s">
        <v>197</v>
      </c>
      <c r="F553" s="131">
        <v>2500</v>
      </c>
      <c r="G553" s="131" t="s">
        <v>195</v>
      </c>
      <c r="H553" s="145" t="s">
        <v>198</v>
      </c>
    </row>
    <row r="554" spans="2:8" ht="15" customHeight="1">
      <c r="B554" s="233"/>
      <c r="C554" s="144" t="s">
        <v>436</v>
      </c>
      <c r="D554" s="131">
        <v>50</v>
      </c>
      <c r="E554" s="131" t="s">
        <v>197</v>
      </c>
      <c r="F554" s="131">
        <v>3000</v>
      </c>
      <c r="G554" s="131" t="s">
        <v>195</v>
      </c>
      <c r="H554" s="145" t="s">
        <v>198</v>
      </c>
    </row>
    <row r="555" spans="2:8" ht="15" customHeight="1">
      <c r="B555" s="233"/>
      <c r="C555" s="144" t="s">
        <v>436</v>
      </c>
      <c r="D555" s="131">
        <v>90</v>
      </c>
      <c r="E555" s="131" t="s">
        <v>197</v>
      </c>
      <c r="F555" s="131">
        <v>2100</v>
      </c>
      <c r="G555" s="131" t="s">
        <v>195</v>
      </c>
      <c r="H555" s="145" t="s">
        <v>198</v>
      </c>
    </row>
    <row r="556" spans="2:8" ht="15" customHeight="1">
      <c r="B556" s="233"/>
      <c r="C556" s="144" t="s">
        <v>436</v>
      </c>
      <c r="D556" s="131">
        <v>63</v>
      </c>
      <c r="E556" s="131" t="s">
        <v>200</v>
      </c>
      <c r="F556" s="131">
        <v>400</v>
      </c>
      <c r="G556" s="131" t="s">
        <v>195</v>
      </c>
      <c r="H556" s="145" t="s">
        <v>198</v>
      </c>
    </row>
    <row r="557" spans="2:8" ht="15" customHeight="1">
      <c r="B557" s="233"/>
      <c r="C557" s="144" t="s">
        <v>436</v>
      </c>
      <c r="D557" s="131">
        <v>50</v>
      </c>
      <c r="E557" s="131" t="s">
        <v>200</v>
      </c>
      <c r="F557" s="131">
        <v>2610</v>
      </c>
      <c r="G557" s="131" t="s">
        <v>195</v>
      </c>
      <c r="H557" s="145" t="s">
        <v>198</v>
      </c>
    </row>
    <row r="558" spans="2:8" ht="15" customHeight="1">
      <c r="B558" s="233"/>
      <c r="C558" s="144" t="s">
        <v>436</v>
      </c>
      <c r="D558" s="131">
        <v>63</v>
      </c>
      <c r="E558" s="131" t="s">
        <v>197</v>
      </c>
      <c r="F558" s="131">
        <v>330</v>
      </c>
      <c r="G558" s="131" t="s">
        <v>195</v>
      </c>
      <c r="H558" s="145" t="s">
        <v>198</v>
      </c>
    </row>
    <row r="559" spans="2:8" ht="15" customHeight="1">
      <c r="B559" s="233"/>
      <c r="C559" s="144" t="s">
        <v>436</v>
      </c>
      <c r="D559" s="131">
        <v>63</v>
      </c>
      <c r="E559" s="131" t="s">
        <v>197</v>
      </c>
      <c r="F559" s="131">
        <v>712</v>
      </c>
      <c r="G559" s="131" t="s">
        <v>195</v>
      </c>
      <c r="H559" s="145" t="s">
        <v>198</v>
      </c>
    </row>
    <row r="560" spans="2:8" ht="15" customHeight="1">
      <c r="B560" s="233"/>
      <c r="C560" s="144" t="s">
        <v>436</v>
      </c>
      <c r="D560" s="131">
        <v>90</v>
      </c>
      <c r="E560" s="131" t="s">
        <v>197</v>
      </c>
      <c r="F560" s="131">
        <v>553</v>
      </c>
      <c r="G560" s="131" t="s">
        <v>195</v>
      </c>
      <c r="H560" s="145" t="s">
        <v>198</v>
      </c>
    </row>
    <row r="561" spans="2:8" ht="15" customHeight="1">
      <c r="B561" s="233"/>
      <c r="C561" s="144" t="s">
        <v>436</v>
      </c>
      <c r="D561" s="131">
        <v>90</v>
      </c>
      <c r="E561" s="131" t="s">
        <v>200</v>
      </c>
      <c r="F561" s="131">
        <v>1000</v>
      </c>
      <c r="G561" s="131" t="s">
        <v>195</v>
      </c>
      <c r="H561" s="145" t="s">
        <v>198</v>
      </c>
    </row>
    <row r="562" spans="2:8" ht="15" customHeight="1">
      <c r="B562" s="233"/>
      <c r="C562" s="144" t="s">
        <v>436</v>
      </c>
      <c r="D562" s="131">
        <v>60</v>
      </c>
      <c r="E562" s="131" t="s">
        <v>194</v>
      </c>
      <c r="F562" s="131">
        <v>1100</v>
      </c>
      <c r="G562" s="131" t="s">
        <v>195</v>
      </c>
      <c r="H562" s="145" t="s">
        <v>198</v>
      </c>
    </row>
    <row r="563" spans="2:8" ht="15" customHeight="1">
      <c r="B563" s="233"/>
      <c r="C563" s="144" t="s">
        <v>436</v>
      </c>
      <c r="D563" s="131">
        <v>75</v>
      </c>
      <c r="E563" s="131" t="s">
        <v>197</v>
      </c>
      <c r="F563" s="131">
        <v>1000</v>
      </c>
      <c r="G563" s="131" t="s">
        <v>195</v>
      </c>
      <c r="H563" s="145" t="s">
        <v>198</v>
      </c>
    </row>
    <row r="564" spans="2:8" ht="15" customHeight="1">
      <c r="B564" s="233"/>
      <c r="C564" s="144" t="s">
        <v>436</v>
      </c>
      <c r="D564" s="131">
        <v>63</v>
      </c>
      <c r="E564" s="131" t="s">
        <v>197</v>
      </c>
      <c r="F564" s="131">
        <v>5400</v>
      </c>
      <c r="G564" s="131" t="s">
        <v>195</v>
      </c>
      <c r="H564" s="145" t="s">
        <v>198</v>
      </c>
    </row>
    <row r="565" spans="2:8" ht="15" customHeight="1">
      <c r="B565" s="233"/>
      <c r="C565" s="144" t="s">
        <v>436</v>
      </c>
      <c r="D565" s="131">
        <v>50</v>
      </c>
      <c r="E565" s="131" t="s">
        <v>197</v>
      </c>
      <c r="F565" s="131">
        <v>2600</v>
      </c>
      <c r="G565" s="131" t="s">
        <v>195</v>
      </c>
      <c r="H565" s="145" t="s">
        <v>198</v>
      </c>
    </row>
    <row r="566" spans="2:8" ht="15" customHeight="1">
      <c r="B566" s="233"/>
      <c r="C566" s="144" t="s">
        <v>436</v>
      </c>
      <c r="D566" s="131">
        <v>90</v>
      </c>
      <c r="E566" s="131" t="s">
        <v>197</v>
      </c>
      <c r="F566" s="131">
        <v>2500</v>
      </c>
      <c r="G566" s="131" t="s">
        <v>195</v>
      </c>
      <c r="H566" s="145" t="s">
        <v>198</v>
      </c>
    </row>
    <row r="567" spans="2:8" ht="15" customHeight="1">
      <c r="B567" s="233"/>
      <c r="C567" s="144" t="s">
        <v>436</v>
      </c>
      <c r="D567" s="131">
        <v>40</v>
      </c>
      <c r="E567" s="131" t="s">
        <v>197</v>
      </c>
      <c r="F567" s="131">
        <v>3000</v>
      </c>
      <c r="G567" s="131" t="s">
        <v>195</v>
      </c>
      <c r="H567" s="145" t="s">
        <v>198</v>
      </c>
    </row>
    <row r="568" spans="2:8" ht="15" customHeight="1">
      <c r="B568" s="233"/>
      <c r="C568" s="144" t="s">
        <v>436</v>
      </c>
      <c r="D568" s="131">
        <v>200</v>
      </c>
      <c r="E568" s="131" t="s">
        <v>197</v>
      </c>
      <c r="F568" s="131">
        <v>726</v>
      </c>
      <c r="G568" s="131" t="s">
        <v>195</v>
      </c>
      <c r="H568" s="145" t="s">
        <v>198</v>
      </c>
    </row>
    <row r="569" spans="2:8" ht="15" customHeight="1">
      <c r="B569" s="233"/>
      <c r="C569" s="144" t="s">
        <v>436</v>
      </c>
      <c r="D569" s="131">
        <v>90</v>
      </c>
      <c r="E569" s="131" t="s">
        <v>197</v>
      </c>
      <c r="F569" s="131">
        <v>2584</v>
      </c>
      <c r="G569" s="131" t="s">
        <v>195</v>
      </c>
      <c r="H569" s="145" t="s">
        <v>198</v>
      </c>
    </row>
    <row r="570" spans="2:8" ht="15" customHeight="1">
      <c r="B570" s="233"/>
      <c r="C570" s="144" t="s">
        <v>436</v>
      </c>
      <c r="D570" s="131">
        <v>63</v>
      </c>
      <c r="E570" s="131" t="s">
        <v>197</v>
      </c>
      <c r="F570" s="131">
        <v>50</v>
      </c>
      <c r="G570" s="131" t="s">
        <v>195</v>
      </c>
      <c r="H570" s="145" t="s">
        <v>198</v>
      </c>
    </row>
    <row r="571" spans="2:8" ht="15" customHeight="1">
      <c r="B571" s="233"/>
      <c r="C571" s="144" t="s">
        <v>436</v>
      </c>
      <c r="D571" s="131">
        <v>50</v>
      </c>
      <c r="E571" s="131" t="s">
        <v>197</v>
      </c>
      <c r="F571" s="131">
        <v>150</v>
      </c>
      <c r="G571" s="131" t="s">
        <v>195</v>
      </c>
      <c r="H571" s="145" t="s">
        <v>198</v>
      </c>
    </row>
    <row r="572" spans="2:8" ht="15" customHeight="1">
      <c r="B572" s="233"/>
      <c r="C572" s="144" t="s">
        <v>436</v>
      </c>
      <c r="D572" s="131">
        <v>60</v>
      </c>
      <c r="E572" s="131" t="s">
        <v>197</v>
      </c>
      <c r="F572" s="131">
        <v>30</v>
      </c>
      <c r="G572" s="131" t="s">
        <v>195</v>
      </c>
      <c r="H572" s="145" t="s">
        <v>198</v>
      </c>
    </row>
    <row r="573" spans="2:8" ht="15" customHeight="1">
      <c r="B573" s="233"/>
      <c r="C573" s="144" t="s">
        <v>436</v>
      </c>
      <c r="D573" s="131">
        <v>63</v>
      </c>
      <c r="E573" s="131" t="s">
        <v>197</v>
      </c>
      <c r="F573" s="131">
        <v>70</v>
      </c>
      <c r="G573" s="131" t="s">
        <v>195</v>
      </c>
      <c r="H573" s="145" t="s">
        <v>198</v>
      </c>
    </row>
    <row r="574" spans="2:8" ht="15" customHeight="1">
      <c r="B574" s="233"/>
      <c r="C574" s="144" t="s">
        <v>436</v>
      </c>
      <c r="D574" s="131">
        <v>63</v>
      </c>
      <c r="E574" s="131" t="s">
        <v>197</v>
      </c>
      <c r="F574" s="131">
        <v>294</v>
      </c>
      <c r="G574" s="131" t="s">
        <v>195</v>
      </c>
      <c r="H574" s="145" t="s">
        <v>198</v>
      </c>
    </row>
    <row r="575" spans="2:8" ht="15" customHeight="1">
      <c r="B575" s="233"/>
      <c r="C575" s="144" t="s">
        <v>436</v>
      </c>
      <c r="D575" s="131">
        <v>63</v>
      </c>
      <c r="E575" s="131" t="s">
        <v>197</v>
      </c>
      <c r="F575" s="131">
        <v>800</v>
      </c>
      <c r="G575" s="131" t="s">
        <v>195</v>
      </c>
      <c r="H575" s="145" t="s">
        <v>198</v>
      </c>
    </row>
    <row r="576" spans="2:8" ht="15" customHeight="1">
      <c r="B576" s="233"/>
      <c r="C576" s="144" t="s">
        <v>436</v>
      </c>
      <c r="D576" s="131">
        <v>50</v>
      </c>
      <c r="E576" s="131" t="s">
        <v>197</v>
      </c>
      <c r="F576" s="131">
        <v>50</v>
      </c>
      <c r="G576" s="131" t="s">
        <v>195</v>
      </c>
      <c r="H576" s="145" t="s">
        <v>198</v>
      </c>
    </row>
    <row r="577" spans="2:8" ht="15" customHeight="1">
      <c r="B577" s="233"/>
      <c r="C577" s="144" t="s">
        <v>436</v>
      </c>
      <c r="D577" s="131">
        <v>63</v>
      </c>
      <c r="E577" s="131" t="s">
        <v>197</v>
      </c>
      <c r="F577" s="131">
        <v>70</v>
      </c>
      <c r="G577" s="131" t="s">
        <v>195</v>
      </c>
      <c r="H577" s="145" t="s">
        <v>198</v>
      </c>
    </row>
    <row r="578" spans="2:8" ht="15" customHeight="1">
      <c r="B578" s="233"/>
      <c r="C578" s="144" t="s">
        <v>436</v>
      </c>
      <c r="D578" s="131">
        <v>63</v>
      </c>
      <c r="E578" s="131" t="s">
        <v>197</v>
      </c>
      <c r="F578" s="131">
        <v>400</v>
      </c>
      <c r="G578" s="131" t="s">
        <v>195</v>
      </c>
      <c r="H578" s="145" t="s">
        <v>198</v>
      </c>
    </row>
    <row r="579" spans="2:8" ht="15" customHeight="1">
      <c r="B579" s="233"/>
      <c r="C579" s="144" t="s">
        <v>436</v>
      </c>
      <c r="D579" s="131">
        <v>63</v>
      </c>
      <c r="E579" s="131" t="s">
        <v>197</v>
      </c>
      <c r="F579" s="131">
        <v>781</v>
      </c>
      <c r="G579" s="131" t="s">
        <v>195</v>
      </c>
      <c r="H579" s="145" t="s">
        <v>198</v>
      </c>
    </row>
    <row r="580" spans="2:8" ht="15" customHeight="1">
      <c r="B580" s="233"/>
      <c r="C580" s="144" t="s">
        <v>436</v>
      </c>
      <c r="D580" s="131">
        <v>63</v>
      </c>
      <c r="E580" s="131" t="s">
        <v>197</v>
      </c>
      <c r="F580" s="131">
        <v>867</v>
      </c>
      <c r="G580" s="131" t="s">
        <v>195</v>
      </c>
      <c r="H580" s="145" t="s">
        <v>198</v>
      </c>
    </row>
    <row r="581" spans="2:8" ht="15" customHeight="1">
      <c r="B581" s="233"/>
      <c r="C581" s="144" t="s">
        <v>436</v>
      </c>
      <c r="D581" s="131">
        <v>63</v>
      </c>
      <c r="E581" s="131" t="s">
        <v>197</v>
      </c>
      <c r="F581" s="131">
        <v>62</v>
      </c>
      <c r="G581" s="131" t="s">
        <v>195</v>
      </c>
      <c r="H581" s="145" t="s">
        <v>198</v>
      </c>
    </row>
    <row r="582" spans="2:8" ht="15" customHeight="1">
      <c r="B582" s="233"/>
      <c r="C582" s="144" t="s">
        <v>436</v>
      </c>
      <c r="D582" s="131">
        <v>63</v>
      </c>
      <c r="E582" s="131" t="s">
        <v>197</v>
      </c>
      <c r="F582" s="131">
        <v>42</v>
      </c>
      <c r="G582" s="131" t="s">
        <v>195</v>
      </c>
      <c r="H582" s="145" t="s">
        <v>198</v>
      </c>
    </row>
    <row r="583" spans="2:8" ht="15" customHeight="1">
      <c r="B583" s="233"/>
      <c r="C583" s="144" t="s">
        <v>436</v>
      </c>
      <c r="D583" s="131">
        <v>63</v>
      </c>
      <c r="E583" s="131" t="s">
        <v>197</v>
      </c>
      <c r="F583" s="131">
        <v>103</v>
      </c>
      <c r="G583" s="131" t="s">
        <v>195</v>
      </c>
      <c r="H583" s="145" t="s">
        <v>198</v>
      </c>
    </row>
    <row r="584" spans="2:8" ht="15" customHeight="1">
      <c r="B584" s="233"/>
      <c r="C584" s="144" t="s">
        <v>436</v>
      </c>
      <c r="D584" s="131">
        <v>63</v>
      </c>
      <c r="E584" s="131" t="s">
        <v>197</v>
      </c>
      <c r="F584" s="131">
        <v>497</v>
      </c>
      <c r="G584" s="131" t="s">
        <v>195</v>
      </c>
      <c r="H584" s="145" t="s">
        <v>198</v>
      </c>
    </row>
    <row r="585" spans="2:8" ht="15" customHeight="1">
      <c r="B585" s="233"/>
      <c r="C585" s="144" t="s">
        <v>436</v>
      </c>
      <c r="D585" s="131">
        <v>63</v>
      </c>
      <c r="E585" s="131" t="s">
        <v>197</v>
      </c>
      <c r="F585" s="131">
        <v>110.16</v>
      </c>
      <c r="G585" s="131" t="s">
        <v>195</v>
      </c>
      <c r="H585" s="145" t="s">
        <v>198</v>
      </c>
    </row>
    <row r="586" spans="2:8" ht="15" customHeight="1">
      <c r="B586" s="233"/>
      <c r="C586" s="144" t="s">
        <v>436</v>
      </c>
      <c r="D586" s="131">
        <v>63</v>
      </c>
      <c r="E586" s="131" t="s">
        <v>197</v>
      </c>
      <c r="F586" s="131">
        <v>68.150000000000006</v>
      </c>
      <c r="G586" s="131" t="s">
        <v>195</v>
      </c>
      <c r="H586" s="145" t="s">
        <v>198</v>
      </c>
    </row>
    <row r="587" spans="2:8" ht="15" customHeight="1">
      <c r="B587" s="233"/>
      <c r="C587" s="144" t="s">
        <v>436</v>
      </c>
      <c r="D587" s="131">
        <v>63</v>
      </c>
      <c r="E587" s="131" t="s">
        <v>197</v>
      </c>
      <c r="F587" s="131">
        <v>22.53</v>
      </c>
      <c r="G587" s="131" t="s">
        <v>195</v>
      </c>
      <c r="H587" s="145" t="s">
        <v>198</v>
      </c>
    </row>
    <row r="588" spans="2:8" ht="15" customHeight="1">
      <c r="B588" s="233"/>
      <c r="C588" s="144" t="s">
        <v>436</v>
      </c>
      <c r="D588" s="131">
        <v>63</v>
      </c>
      <c r="E588" s="131" t="s">
        <v>197</v>
      </c>
      <c r="F588" s="131">
        <v>25.51</v>
      </c>
      <c r="G588" s="131" t="s">
        <v>195</v>
      </c>
      <c r="H588" s="145" t="s">
        <v>198</v>
      </c>
    </row>
    <row r="589" spans="2:8" ht="15" customHeight="1">
      <c r="B589" s="233"/>
      <c r="C589" s="144" t="s">
        <v>436</v>
      </c>
      <c r="D589" s="131">
        <v>63</v>
      </c>
      <c r="E589" s="131" t="s">
        <v>197</v>
      </c>
      <c r="F589" s="131">
        <v>18.25</v>
      </c>
      <c r="G589" s="131" t="s">
        <v>195</v>
      </c>
      <c r="H589" s="145" t="s">
        <v>198</v>
      </c>
    </row>
    <row r="590" spans="2:8" ht="15" customHeight="1">
      <c r="B590" s="233"/>
      <c r="C590" s="144" t="s">
        <v>436</v>
      </c>
      <c r="D590" s="131">
        <v>63</v>
      </c>
      <c r="E590" s="131" t="s">
        <v>197</v>
      </c>
      <c r="F590" s="131">
        <v>67.650000000000006</v>
      </c>
      <c r="G590" s="131" t="s">
        <v>195</v>
      </c>
      <c r="H590" s="145" t="s">
        <v>198</v>
      </c>
    </row>
    <row r="591" spans="2:8" ht="15" customHeight="1">
      <c r="B591" s="233"/>
      <c r="C591" s="144" t="s">
        <v>436</v>
      </c>
      <c r="D591" s="131">
        <v>63</v>
      </c>
      <c r="E591" s="131" t="s">
        <v>197</v>
      </c>
      <c r="F591" s="131">
        <v>183</v>
      </c>
      <c r="G591" s="131" t="s">
        <v>195</v>
      </c>
      <c r="H591" s="145" t="s">
        <v>198</v>
      </c>
    </row>
    <row r="592" spans="2:8" ht="15" customHeight="1">
      <c r="B592" s="233"/>
      <c r="C592" s="144" t="s">
        <v>436</v>
      </c>
      <c r="D592" s="131">
        <v>63</v>
      </c>
      <c r="E592" s="131" t="s">
        <v>197</v>
      </c>
      <c r="F592" s="131">
        <v>48</v>
      </c>
      <c r="G592" s="131" t="s">
        <v>195</v>
      </c>
      <c r="H592" s="145" t="s">
        <v>198</v>
      </c>
    </row>
    <row r="593" spans="2:8" ht="15" customHeight="1">
      <c r="B593" s="233"/>
      <c r="C593" s="144" t="s">
        <v>436</v>
      </c>
      <c r="D593" s="131">
        <v>63</v>
      </c>
      <c r="E593" s="131" t="s">
        <v>197</v>
      </c>
      <c r="F593" s="131">
        <v>132</v>
      </c>
      <c r="G593" s="131" t="s">
        <v>195</v>
      </c>
      <c r="H593" s="145" t="s">
        <v>198</v>
      </c>
    </row>
    <row r="594" spans="2:8" ht="15" customHeight="1">
      <c r="B594" s="233"/>
      <c r="C594" s="144" t="s">
        <v>436</v>
      </c>
      <c r="D594" s="131">
        <v>63</v>
      </c>
      <c r="E594" s="131" t="s">
        <v>197</v>
      </c>
      <c r="F594" s="131">
        <v>48</v>
      </c>
      <c r="G594" s="131" t="s">
        <v>195</v>
      </c>
      <c r="H594" s="145" t="s">
        <v>198</v>
      </c>
    </row>
    <row r="595" spans="2:8" ht="15" customHeight="1">
      <c r="B595" s="233"/>
      <c r="C595" s="144" t="s">
        <v>436</v>
      </c>
      <c r="D595" s="131">
        <v>63</v>
      </c>
      <c r="E595" s="131" t="s">
        <v>197</v>
      </c>
      <c r="F595" s="131">
        <v>48</v>
      </c>
      <c r="G595" s="131" t="s">
        <v>195</v>
      </c>
      <c r="H595" s="145" t="s">
        <v>198</v>
      </c>
    </row>
    <row r="596" spans="2:8" ht="15" customHeight="1">
      <c r="B596" s="233"/>
      <c r="C596" s="144" t="s">
        <v>436</v>
      </c>
      <c r="D596" s="131">
        <v>63</v>
      </c>
      <c r="E596" s="131" t="s">
        <v>197</v>
      </c>
      <c r="F596" s="131">
        <v>42</v>
      </c>
      <c r="G596" s="131" t="s">
        <v>195</v>
      </c>
      <c r="H596" s="145" t="s">
        <v>198</v>
      </c>
    </row>
    <row r="597" spans="2:8" ht="15" customHeight="1">
      <c r="B597" s="233"/>
      <c r="C597" s="144" t="s">
        <v>436</v>
      </c>
      <c r="D597" s="131">
        <v>63</v>
      </c>
      <c r="E597" s="131" t="s">
        <v>197</v>
      </c>
      <c r="F597" s="131">
        <v>39</v>
      </c>
      <c r="G597" s="131" t="s">
        <v>195</v>
      </c>
      <c r="H597" s="145" t="s">
        <v>198</v>
      </c>
    </row>
    <row r="598" spans="2:8" ht="15" customHeight="1">
      <c r="B598" s="233"/>
      <c r="C598" s="144" t="s">
        <v>436</v>
      </c>
      <c r="D598" s="131">
        <v>63</v>
      </c>
      <c r="E598" s="131" t="s">
        <v>197</v>
      </c>
      <c r="F598" s="131">
        <v>120</v>
      </c>
      <c r="G598" s="131" t="s">
        <v>195</v>
      </c>
      <c r="H598" s="145" t="s">
        <v>198</v>
      </c>
    </row>
    <row r="599" spans="2:8" ht="15" customHeight="1">
      <c r="B599" s="233"/>
      <c r="C599" s="144" t="s">
        <v>436</v>
      </c>
      <c r="D599" s="131">
        <v>63</v>
      </c>
      <c r="E599" s="131" t="s">
        <v>197</v>
      </c>
      <c r="F599" s="131">
        <v>46</v>
      </c>
      <c r="G599" s="131" t="s">
        <v>195</v>
      </c>
      <c r="H599" s="145" t="s">
        <v>198</v>
      </c>
    </row>
    <row r="600" spans="2:8" ht="15" customHeight="1">
      <c r="B600" s="233"/>
      <c r="C600" s="144" t="s">
        <v>436</v>
      </c>
      <c r="D600" s="131">
        <v>63</v>
      </c>
      <c r="E600" s="131" t="s">
        <v>197</v>
      </c>
      <c r="F600" s="131">
        <v>111.5</v>
      </c>
      <c r="G600" s="131" t="s">
        <v>195</v>
      </c>
      <c r="H600" s="145" t="s">
        <v>198</v>
      </c>
    </row>
    <row r="601" spans="2:8" ht="15" customHeight="1">
      <c r="B601" s="233"/>
      <c r="C601" s="144" t="s">
        <v>436</v>
      </c>
      <c r="D601" s="131">
        <v>63</v>
      </c>
      <c r="E601" s="131" t="s">
        <v>197</v>
      </c>
      <c r="F601" s="131">
        <v>39</v>
      </c>
      <c r="G601" s="131" t="s">
        <v>195</v>
      </c>
      <c r="H601" s="145" t="s">
        <v>198</v>
      </c>
    </row>
    <row r="602" spans="2:8" ht="15" customHeight="1">
      <c r="B602" s="233"/>
      <c r="C602" s="144" t="s">
        <v>436</v>
      </c>
      <c r="D602" s="131">
        <v>63</v>
      </c>
      <c r="E602" s="131" t="s">
        <v>197</v>
      </c>
      <c r="F602" s="131">
        <v>128.5</v>
      </c>
      <c r="G602" s="131" t="s">
        <v>195</v>
      </c>
      <c r="H602" s="145" t="s">
        <v>198</v>
      </c>
    </row>
    <row r="603" spans="2:8" ht="15" customHeight="1">
      <c r="B603" s="233"/>
      <c r="C603" s="144" t="s">
        <v>436</v>
      </c>
      <c r="D603" s="131">
        <v>63</v>
      </c>
      <c r="E603" s="131" t="s">
        <v>197</v>
      </c>
      <c r="F603" s="131">
        <v>36</v>
      </c>
      <c r="G603" s="131" t="s">
        <v>195</v>
      </c>
      <c r="H603" s="145" t="s">
        <v>198</v>
      </c>
    </row>
    <row r="604" spans="2:8" ht="15" customHeight="1">
      <c r="B604" s="233"/>
      <c r="C604" s="144" t="s">
        <v>436</v>
      </c>
      <c r="D604" s="131">
        <v>63</v>
      </c>
      <c r="E604" s="131" t="s">
        <v>197</v>
      </c>
      <c r="F604" s="131">
        <v>146</v>
      </c>
      <c r="G604" s="131" t="s">
        <v>195</v>
      </c>
      <c r="H604" s="145" t="s">
        <v>198</v>
      </c>
    </row>
    <row r="605" spans="2:8" ht="15" customHeight="1">
      <c r="B605" s="233"/>
      <c r="C605" s="144" t="s">
        <v>436</v>
      </c>
      <c r="D605" s="131">
        <v>63</v>
      </c>
      <c r="E605" s="131" t="s">
        <v>197</v>
      </c>
      <c r="F605" s="131">
        <v>45</v>
      </c>
      <c r="G605" s="131" t="s">
        <v>195</v>
      </c>
      <c r="H605" s="145" t="s">
        <v>198</v>
      </c>
    </row>
    <row r="606" spans="2:8" ht="15" customHeight="1">
      <c r="B606" s="233"/>
      <c r="C606" s="144" t="s">
        <v>436</v>
      </c>
      <c r="D606" s="131">
        <v>63</v>
      </c>
      <c r="E606" s="131" t="s">
        <v>197</v>
      </c>
      <c r="F606" s="131">
        <v>68.5</v>
      </c>
      <c r="G606" s="131" t="s">
        <v>195</v>
      </c>
      <c r="H606" s="145" t="s">
        <v>198</v>
      </c>
    </row>
    <row r="607" spans="2:8" ht="15" customHeight="1">
      <c r="B607" s="233"/>
      <c r="C607" s="144" t="s">
        <v>436</v>
      </c>
      <c r="D607" s="131">
        <v>63</v>
      </c>
      <c r="E607" s="131" t="s">
        <v>197</v>
      </c>
      <c r="F607" s="131">
        <v>30</v>
      </c>
      <c r="G607" s="131" t="s">
        <v>195</v>
      </c>
      <c r="H607" s="145" t="s">
        <v>198</v>
      </c>
    </row>
    <row r="608" spans="2:8" ht="15" customHeight="1">
      <c r="B608" s="233"/>
      <c r="C608" s="144" t="s">
        <v>436</v>
      </c>
      <c r="D608" s="131">
        <v>63</v>
      </c>
      <c r="E608" s="131" t="s">
        <v>197</v>
      </c>
      <c r="F608" s="131">
        <v>57.09</v>
      </c>
      <c r="G608" s="131" t="s">
        <v>195</v>
      </c>
      <c r="H608" s="145" t="s">
        <v>198</v>
      </c>
    </row>
    <row r="609" spans="2:8" ht="15" customHeight="1">
      <c r="B609" s="233"/>
      <c r="C609" s="144" t="s">
        <v>436</v>
      </c>
      <c r="D609" s="131">
        <v>63</v>
      </c>
      <c r="E609" s="131" t="s">
        <v>197</v>
      </c>
      <c r="F609" s="131">
        <v>175</v>
      </c>
      <c r="G609" s="131" t="s">
        <v>195</v>
      </c>
      <c r="H609" s="145" t="s">
        <v>198</v>
      </c>
    </row>
    <row r="610" spans="2:8" ht="15" customHeight="1">
      <c r="B610" s="233"/>
      <c r="C610" s="144" t="s">
        <v>436</v>
      </c>
      <c r="D610" s="131">
        <v>63</v>
      </c>
      <c r="E610" s="131" t="s">
        <v>197</v>
      </c>
      <c r="F610" s="131">
        <v>81</v>
      </c>
      <c r="G610" s="131" t="s">
        <v>195</v>
      </c>
      <c r="H610" s="145" t="s">
        <v>198</v>
      </c>
    </row>
    <row r="611" spans="2:8" ht="15" customHeight="1">
      <c r="B611" s="233"/>
      <c r="C611" s="144" t="s">
        <v>436</v>
      </c>
      <c r="D611" s="131">
        <v>63</v>
      </c>
      <c r="E611" s="131" t="s">
        <v>197</v>
      </c>
      <c r="F611" s="131">
        <v>133.5</v>
      </c>
      <c r="G611" s="131" t="s">
        <v>195</v>
      </c>
      <c r="H611" s="145" t="s">
        <v>198</v>
      </c>
    </row>
    <row r="612" spans="2:8" ht="15" customHeight="1">
      <c r="B612" s="233"/>
      <c r="C612" s="144" t="s">
        <v>436</v>
      </c>
      <c r="D612" s="131">
        <v>63</v>
      </c>
      <c r="E612" s="131" t="s">
        <v>197</v>
      </c>
      <c r="F612" s="131">
        <v>96.38</v>
      </c>
      <c r="G612" s="131" t="s">
        <v>195</v>
      </c>
      <c r="H612" s="145" t="s">
        <v>198</v>
      </c>
    </row>
    <row r="613" spans="2:8" ht="15" customHeight="1">
      <c r="B613" s="233"/>
      <c r="C613" s="144" t="s">
        <v>436</v>
      </c>
      <c r="D613" s="131">
        <v>63</v>
      </c>
      <c r="E613" s="131" t="s">
        <v>197</v>
      </c>
      <c r="F613" s="131">
        <v>333</v>
      </c>
      <c r="G613" s="131" t="s">
        <v>195</v>
      </c>
      <c r="H613" s="145" t="s">
        <v>198</v>
      </c>
    </row>
    <row r="614" spans="2:8" ht="15" customHeight="1">
      <c r="B614" s="233"/>
      <c r="C614" s="144" t="s">
        <v>436</v>
      </c>
      <c r="D614" s="131">
        <v>63</v>
      </c>
      <c r="E614" s="131" t="s">
        <v>197</v>
      </c>
      <c r="F614" s="131">
        <v>53.5</v>
      </c>
      <c r="G614" s="131" t="s">
        <v>195</v>
      </c>
      <c r="H614" s="145" t="s">
        <v>198</v>
      </c>
    </row>
    <row r="615" spans="2:8" ht="15" customHeight="1">
      <c r="B615" s="233"/>
      <c r="C615" s="144" t="s">
        <v>436</v>
      </c>
      <c r="D615" s="131">
        <v>63</v>
      </c>
      <c r="E615" s="131" t="s">
        <v>197</v>
      </c>
      <c r="F615" s="131">
        <v>49</v>
      </c>
      <c r="G615" s="131" t="s">
        <v>195</v>
      </c>
      <c r="H615" s="145" t="s">
        <v>198</v>
      </c>
    </row>
    <row r="616" spans="2:8" ht="15" customHeight="1">
      <c r="B616" s="233"/>
      <c r="C616" s="144" t="s">
        <v>436</v>
      </c>
      <c r="D616" s="131">
        <v>63</v>
      </c>
      <c r="E616" s="131" t="s">
        <v>197</v>
      </c>
      <c r="F616" s="131">
        <v>69.95</v>
      </c>
      <c r="G616" s="131" t="s">
        <v>195</v>
      </c>
      <c r="H616" s="145" t="s">
        <v>198</v>
      </c>
    </row>
    <row r="617" spans="2:8" ht="15" customHeight="1">
      <c r="B617" s="233"/>
      <c r="C617" s="144" t="s">
        <v>436</v>
      </c>
      <c r="D617" s="131">
        <v>63</v>
      </c>
      <c r="E617" s="131" t="s">
        <v>197</v>
      </c>
      <c r="F617" s="131">
        <v>89.84</v>
      </c>
      <c r="G617" s="131" t="s">
        <v>195</v>
      </c>
      <c r="H617" s="145" t="s">
        <v>198</v>
      </c>
    </row>
    <row r="618" spans="2:8" ht="15" customHeight="1">
      <c r="B618" s="233"/>
      <c r="C618" s="144" t="s">
        <v>436</v>
      </c>
      <c r="D618" s="131">
        <v>63</v>
      </c>
      <c r="E618" s="131" t="s">
        <v>197</v>
      </c>
      <c r="F618" s="131">
        <v>68.2</v>
      </c>
      <c r="G618" s="131" t="s">
        <v>195</v>
      </c>
      <c r="H618" s="145" t="s">
        <v>198</v>
      </c>
    </row>
    <row r="619" spans="2:8" ht="15" customHeight="1">
      <c r="B619" s="233"/>
      <c r="C619" s="144" t="s">
        <v>436</v>
      </c>
      <c r="D619" s="131">
        <v>63</v>
      </c>
      <c r="E619" s="131" t="s">
        <v>197</v>
      </c>
      <c r="F619" s="131">
        <v>61.96</v>
      </c>
      <c r="G619" s="131" t="s">
        <v>195</v>
      </c>
      <c r="H619" s="145" t="s">
        <v>198</v>
      </c>
    </row>
    <row r="620" spans="2:8" ht="15" customHeight="1">
      <c r="B620" s="233"/>
      <c r="C620" s="144" t="s">
        <v>436</v>
      </c>
      <c r="D620" s="131">
        <v>63</v>
      </c>
      <c r="E620" s="131" t="s">
        <v>197</v>
      </c>
      <c r="F620" s="131">
        <v>76.27</v>
      </c>
      <c r="G620" s="131" t="s">
        <v>195</v>
      </c>
      <c r="H620" s="145" t="s">
        <v>198</v>
      </c>
    </row>
    <row r="621" spans="2:8" ht="15" customHeight="1">
      <c r="B621" s="233"/>
      <c r="C621" s="144" t="s">
        <v>436</v>
      </c>
      <c r="D621" s="131">
        <v>63</v>
      </c>
      <c r="E621" s="131" t="s">
        <v>197</v>
      </c>
      <c r="F621" s="131">
        <v>26.54</v>
      </c>
      <c r="G621" s="131" t="s">
        <v>195</v>
      </c>
      <c r="H621" s="145" t="s">
        <v>198</v>
      </c>
    </row>
    <row r="622" spans="2:8" ht="15" customHeight="1">
      <c r="B622" s="233"/>
      <c r="C622" s="144" t="s">
        <v>436</v>
      </c>
      <c r="D622" s="131">
        <v>63</v>
      </c>
      <c r="E622" s="131" t="s">
        <v>197</v>
      </c>
      <c r="F622" s="131">
        <v>76.16</v>
      </c>
      <c r="G622" s="131" t="s">
        <v>195</v>
      </c>
      <c r="H622" s="145" t="s">
        <v>198</v>
      </c>
    </row>
    <row r="623" spans="2:8" ht="15" customHeight="1">
      <c r="B623" s="233"/>
      <c r="C623" s="144" t="s">
        <v>436</v>
      </c>
      <c r="D623" s="131">
        <v>63</v>
      </c>
      <c r="E623" s="131" t="s">
        <v>197</v>
      </c>
      <c r="F623" s="131">
        <v>79.91</v>
      </c>
      <c r="G623" s="131" t="s">
        <v>195</v>
      </c>
      <c r="H623" s="145" t="s">
        <v>198</v>
      </c>
    </row>
    <row r="624" spans="2:8" ht="15" customHeight="1">
      <c r="B624" s="233"/>
      <c r="C624" s="144" t="s">
        <v>436</v>
      </c>
      <c r="D624" s="131">
        <v>63</v>
      </c>
      <c r="E624" s="131" t="s">
        <v>197</v>
      </c>
      <c r="F624" s="131">
        <v>91.33</v>
      </c>
      <c r="G624" s="131" t="s">
        <v>195</v>
      </c>
      <c r="H624" s="145" t="s">
        <v>198</v>
      </c>
    </row>
    <row r="625" spans="2:8" ht="15" customHeight="1">
      <c r="B625" s="233"/>
      <c r="C625" s="144" t="s">
        <v>436</v>
      </c>
      <c r="D625" s="131">
        <v>63</v>
      </c>
      <c r="E625" s="131" t="s">
        <v>197</v>
      </c>
      <c r="F625" s="131">
        <v>66.260000000000005</v>
      </c>
      <c r="G625" s="131" t="s">
        <v>195</v>
      </c>
      <c r="H625" s="145" t="s">
        <v>198</v>
      </c>
    </row>
    <row r="626" spans="2:8" ht="15" customHeight="1">
      <c r="B626" s="233"/>
      <c r="C626" s="144" t="s">
        <v>436</v>
      </c>
      <c r="D626" s="131">
        <v>63</v>
      </c>
      <c r="E626" s="131" t="s">
        <v>197</v>
      </c>
      <c r="F626" s="131">
        <v>80.400000000000006</v>
      </c>
      <c r="G626" s="131" t="s">
        <v>195</v>
      </c>
      <c r="H626" s="145" t="s">
        <v>198</v>
      </c>
    </row>
    <row r="627" spans="2:8" ht="15" customHeight="1">
      <c r="B627" s="233"/>
      <c r="C627" s="144" t="s">
        <v>436</v>
      </c>
      <c r="D627" s="131">
        <v>63</v>
      </c>
      <c r="E627" s="131" t="s">
        <v>197</v>
      </c>
      <c r="F627" s="131">
        <v>65</v>
      </c>
      <c r="G627" s="131" t="s">
        <v>195</v>
      </c>
      <c r="H627" s="145" t="s">
        <v>198</v>
      </c>
    </row>
    <row r="628" spans="2:8" ht="15" customHeight="1">
      <c r="B628" s="233"/>
      <c r="C628" s="144" t="s">
        <v>436</v>
      </c>
      <c r="D628" s="131">
        <v>63</v>
      </c>
      <c r="E628" s="131" t="s">
        <v>197</v>
      </c>
      <c r="F628" s="131">
        <v>60.99</v>
      </c>
      <c r="G628" s="131" t="s">
        <v>195</v>
      </c>
      <c r="H628" s="145" t="s">
        <v>198</v>
      </c>
    </row>
    <row r="629" spans="2:8" ht="15" customHeight="1">
      <c r="B629" s="233"/>
      <c r="C629" s="144" t="s">
        <v>436</v>
      </c>
      <c r="D629" s="131">
        <v>63</v>
      </c>
      <c r="E629" s="131" t="s">
        <v>197</v>
      </c>
      <c r="F629" s="131">
        <v>40.44</v>
      </c>
      <c r="G629" s="131" t="s">
        <v>195</v>
      </c>
      <c r="H629" s="145" t="s">
        <v>198</v>
      </c>
    </row>
    <row r="630" spans="2:8" ht="15" customHeight="1">
      <c r="B630" s="233"/>
      <c r="C630" s="144" t="s">
        <v>436</v>
      </c>
      <c r="D630" s="131">
        <v>75</v>
      </c>
      <c r="E630" s="131" t="s">
        <v>197</v>
      </c>
      <c r="F630" s="131">
        <v>92</v>
      </c>
      <c r="G630" s="131" t="s">
        <v>195</v>
      </c>
      <c r="H630" s="145" t="s">
        <v>198</v>
      </c>
    </row>
    <row r="631" spans="2:8" ht="15" customHeight="1">
      <c r="B631" s="233"/>
      <c r="C631" s="144" t="s">
        <v>436</v>
      </c>
      <c r="D631" s="131">
        <v>75</v>
      </c>
      <c r="E631" s="131" t="s">
        <v>197</v>
      </c>
      <c r="F631" s="131">
        <v>42</v>
      </c>
      <c r="G631" s="131" t="s">
        <v>195</v>
      </c>
      <c r="H631" s="145" t="s">
        <v>198</v>
      </c>
    </row>
    <row r="632" spans="2:8" ht="15" customHeight="1">
      <c r="B632" s="233"/>
      <c r="C632" s="144" t="s">
        <v>436</v>
      </c>
      <c r="D632" s="131">
        <v>75</v>
      </c>
      <c r="E632" s="131" t="s">
        <v>197</v>
      </c>
      <c r="F632" s="131">
        <v>82</v>
      </c>
      <c r="G632" s="131" t="s">
        <v>195</v>
      </c>
      <c r="H632" s="145" t="s">
        <v>198</v>
      </c>
    </row>
    <row r="633" spans="2:8" ht="15" customHeight="1">
      <c r="B633" s="233"/>
      <c r="C633" s="144" t="s">
        <v>436</v>
      </c>
      <c r="D633" s="131">
        <v>75</v>
      </c>
      <c r="E633" s="131" t="s">
        <v>197</v>
      </c>
      <c r="F633" s="131">
        <v>60</v>
      </c>
      <c r="G633" s="131" t="s">
        <v>195</v>
      </c>
      <c r="H633" s="145" t="s">
        <v>198</v>
      </c>
    </row>
    <row r="634" spans="2:8" ht="15" customHeight="1">
      <c r="B634" s="233"/>
      <c r="C634" s="144" t="s">
        <v>436</v>
      </c>
      <c r="D634" s="131">
        <v>75</v>
      </c>
      <c r="E634" s="131" t="s">
        <v>197</v>
      </c>
      <c r="F634" s="131">
        <v>520</v>
      </c>
      <c r="G634" s="131" t="s">
        <v>195</v>
      </c>
      <c r="H634" s="145" t="s">
        <v>198</v>
      </c>
    </row>
    <row r="635" spans="2:8" ht="15" customHeight="1">
      <c r="B635" s="233"/>
      <c r="C635" s="144" t="s">
        <v>436</v>
      </c>
      <c r="D635" s="131">
        <v>75</v>
      </c>
      <c r="E635" s="131" t="s">
        <v>197</v>
      </c>
      <c r="F635" s="131">
        <v>46</v>
      </c>
      <c r="G635" s="131" t="s">
        <v>195</v>
      </c>
      <c r="H635" s="145" t="s">
        <v>198</v>
      </c>
    </row>
    <row r="636" spans="2:8" ht="15" customHeight="1">
      <c r="B636" s="233"/>
      <c r="C636" s="144" t="s">
        <v>436</v>
      </c>
      <c r="D636" s="131">
        <v>75</v>
      </c>
      <c r="E636" s="131" t="s">
        <v>197</v>
      </c>
      <c r="F636" s="131">
        <v>45</v>
      </c>
      <c r="G636" s="131" t="s">
        <v>195</v>
      </c>
      <c r="H636" s="145" t="s">
        <v>198</v>
      </c>
    </row>
    <row r="637" spans="2:8" ht="15" customHeight="1">
      <c r="B637" s="233"/>
      <c r="C637" s="144" t="s">
        <v>436</v>
      </c>
      <c r="D637" s="131">
        <v>250</v>
      </c>
      <c r="E637" s="131" t="s">
        <v>197</v>
      </c>
      <c r="F637" s="131">
        <v>560</v>
      </c>
      <c r="G637" s="131" t="s">
        <v>195</v>
      </c>
      <c r="H637" s="145" t="s">
        <v>198</v>
      </c>
    </row>
    <row r="638" spans="2:8" ht="15" customHeight="1">
      <c r="B638" s="233"/>
      <c r="C638" s="144" t="s">
        <v>436</v>
      </c>
      <c r="D638" s="131">
        <v>160</v>
      </c>
      <c r="E638" s="131" t="s">
        <v>197</v>
      </c>
      <c r="F638" s="131">
        <v>880</v>
      </c>
      <c r="G638" s="131" t="s">
        <v>195</v>
      </c>
      <c r="H638" s="145" t="s">
        <v>198</v>
      </c>
    </row>
    <row r="639" spans="2:8" ht="15" customHeight="1">
      <c r="B639" s="233"/>
      <c r="C639" s="144" t="s">
        <v>436</v>
      </c>
      <c r="D639" s="131">
        <v>110</v>
      </c>
      <c r="E639" s="131" t="s">
        <v>197</v>
      </c>
      <c r="F639" s="131">
        <v>700</v>
      </c>
      <c r="G639" s="131" t="s">
        <v>195</v>
      </c>
      <c r="H639" s="145" t="s">
        <v>198</v>
      </c>
    </row>
    <row r="640" spans="2:8" ht="15" customHeight="1">
      <c r="B640" s="233"/>
      <c r="C640" s="144" t="s">
        <v>436</v>
      </c>
      <c r="D640" s="131">
        <v>90</v>
      </c>
      <c r="E640" s="131" t="s">
        <v>197</v>
      </c>
      <c r="F640" s="131">
        <v>5047</v>
      </c>
      <c r="G640" s="131" t="s">
        <v>195</v>
      </c>
      <c r="H640" s="145" t="s">
        <v>198</v>
      </c>
    </row>
    <row r="641" spans="2:8" ht="15" customHeight="1">
      <c r="B641" s="233"/>
      <c r="C641" s="144" t="s">
        <v>436</v>
      </c>
      <c r="D641" s="131">
        <v>75</v>
      </c>
      <c r="E641" s="131" t="s">
        <v>197</v>
      </c>
      <c r="F641" s="131">
        <v>1656</v>
      </c>
      <c r="G641" s="131" t="s">
        <v>195</v>
      </c>
      <c r="H641" s="145" t="s">
        <v>198</v>
      </c>
    </row>
    <row r="642" spans="2:8" ht="15" customHeight="1">
      <c r="B642" s="233"/>
      <c r="C642" s="144" t="s">
        <v>436</v>
      </c>
      <c r="D642" s="131">
        <v>63</v>
      </c>
      <c r="E642" s="131" t="s">
        <v>197</v>
      </c>
      <c r="F642" s="131">
        <v>40087</v>
      </c>
      <c r="G642" s="131" t="s">
        <v>195</v>
      </c>
      <c r="H642" s="145" t="s">
        <v>198</v>
      </c>
    </row>
    <row r="643" spans="2:8" ht="15" customHeight="1">
      <c r="B643" s="233"/>
      <c r="C643" s="144" t="s">
        <v>436</v>
      </c>
      <c r="D643" s="131">
        <v>110</v>
      </c>
      <c r="E643" s="131" t="s">
        <v>197</v>
      </c>
      <c r="F643" s="131">
        <v>430</v>
      </c>
      <c r="G643" s="131" t="s">
        <v>195</v>
      </c>
      <c r="H643" s="145" t="s">
        <v>198</v>
      </c>
    </row>
    <row r="644" spans="2:8" ht="15" customHeight="1">
      <c r="B644" s="233"/>
      <c r="C644" s="144" t="s">
        <v>436</v>
      </c>
      <c r="D644" s="131">
        <v>90</v>
      </c>
      <c r="E644" s="131" t="s">
        <v>197</v>
      </c>
      <c r="F644" s="131">
        <v>900</v>
      </c>
      <c r="G644" s="131" t="s">
        <v>195</v>
      </c>
      <c r="H644" s="145" t="s">
        <v>198</v>
      </c>
    </row>
    <row r="645" spans="2:8" ht="15" customHeight="1">
      <c r="B645" s="233"/>
      <c r="C645" s="144" t="s">
        <v>436</v>
      </c>
      <c r="D645" s="131">
        <v>75</v>
      </c>
      <c r="E645" s="131" t="s">
        <v>197</v>
      </c>
      <c r="F645" s="131">
        <v>420</v>
      </c>
      <c r="G645" s="131" t="s">
        <v>195</v>
      </c>
      <c r="H645" s="145" t="s">
        <v>198</v>
      </c>
    </row>
    <row r="646" spans="2:8" ht="15" customHeight="1" thickBot="1">
      <c r="B646" s="234"/>
      <c r="C646" s="149" t="s">
        <v>436</v>
      </c>
      <c r="D646" s="150">
        <v>50</v>
      </c>
      <c r="E646" s="150" t="s">
        <v>200</v>
      </c>
      <c r="F646" s="150">
        <v>5000</v>
      </c>
      <c r="G646" s="150" t="s">
        <v>195</v>
      </c>
      <c r="H646" s="151" t="s">
        <v>198</v>
      </c>
    </row>
    <row r="647" spans="2:8" ht="15" customHeight="1">
      <c r="B647" s="229" t="s">
        <v>262</v>
      </c>
      <c r="C647" s="144" t="s">
        <v>436</v>
      </c>
      <c r="D647" s="131">
        <v>63</v>
      </c>
      <c r="E647" s="131" t="s">
        <v>197</v>
      </c>
      <c r="F647" s="131">
        <v>372</v>
      </c>
      <c r="G647" s="131" t="s">
        <v>195</v>
      </c>
      <c r="H647" s="145" t="s">
        <v>198</v>
      </c>
    </row>
    <row r="648" spans="2:8" ht="15" customHeight="1">
      <c r="B648" s="230"/>
      <c r="C648" s="144" t="s">
        <v>436</v>
      </c>
      <c r="D648" s="131">
        <v>63</v>
      </c>
      <c r="E648" s="131" t="s">
        <v>197</v>
      </c>
      <c r="F648" s="131">
        <v>130</v>
      </c>
      <c r="G648" s="131" t="s">
        <v>195</v>
      </c>
      <c r="H648" s="145" t="s">
        <v>198</v>
      </c>
    </row>
    <row r="649" spans="2:8" ht="15" customHeight="1">
      <c r="B649" s="230"/>
      <c r="C649" s="144" t="s">
        <v>436</v>
      </c>
      <c r="D649" s="131">
        <v>75</v>
      </c>
      <c r="E649" s="131" t="s">
        <v>197</v>
      </c>
      <c r="F649" s="131">
        <v>402</v>
      </c>
      <c r="G649" s="131" t="s">
        <v>195</v>
      </c>
      <c r="H649" s="145" t="s">
        <v>198</v>
      </c>
    </row>
    <row r="650" spans="2:8" ht="15" customHeight="1">
      <c r="B650" s="230"/>
      <c r="C650" s="144" t="s">
        <v>436</v>
      </c>
      <c r="D650" s="131">
        <v>140</v>
      </c>
      <c r="E650" s="131" t="s">
        <v>197</v>
      </c>
      <c r="F650" s="131">
        <v>2502</v>
      </c>
      <c r="G650" s="131" t="s">
        <v>195</v>
      </c>
      <c r="H650" s="145" t="s">
        <v>198</v>
      </c>
    </row>
    <row r="651" spans="2:8" ht="15" customHeight="1">
      <c r="B651" s="230"/>
      <c r="C651" s="144" t="s">
        <v>436</v>
      </c>
      <c r="D651" s="131">
        <v>125</v>
      </c>
      <c r="E651" s="131" t="s">
        <v>197</v>
      </c>
      <c r="F651" s="131">
        <v>153</v>
      </c>
      <c r="G651" s="131" t="s">
        <v>195</v>
      </c>
      <c r="H651" s="145" t="s">
        <v>198</v>
      </c>
    </row>
    <row r="652" spans="2:8" ht="15" customHeight="1">
      <c r="B652" s="230"/>
      <c r="C652" s="144" t="s">
        <v>436</v>
      </c>
      <c r="D652" s="131">
        <v>110</v>
      </c>
      <c r="E652" s="131" t="s">
        <v>197</v>
      </c>
      <c r="F652" s="131">
        <v>120</v>
      </c>
      <c r="G652" s="131" t="s">
        <v>195</v>
      </c>
      <c r="H652" s="145" t="s">
        <v>198</v>
      </c>
    </row>
    <row r="653" spans="2:8" ht="15" customHeight="1">
      <c r="B653" s="230"/>
      <c r="C653" s="144" t="s">
        <v>436</v>
      </c>
      <c r="D653" s="131">
        <v>90</v>
      </c>
      <c r="E653" s="131" t="s">
        <v>197</v>
      </c>
      <c r="F653" s="131">
        <v>697</v>
      </c>
      <c r="G653" s="131" t="s">
        <v>195</v>
      </c>
      <c r="H653" s="145" t="s">
        <v>198</v>
      </c>
    </row>
    <row r="654" spans="2:8" ht="15" customHeight="1">
      <c r="B654" s="230"/>
      <c r="C654" s="144" t="s">
        <v>436</v>
      </c>
      <c r="D654" s="131">
        <v>75</v>
      </c>
      <c r="E654" s="131" t="s">
        <v>197</v>
      </c>
      <c r="F654" s="131">
        <v>6295</v>
      </c>
      <c r="G654" s="131" t="s">
        <v>195</v>
      </c>
      <c r="H654" s="145" t="s">
        <v>198</v>
      </c>
    </row>
    <row r="655" spans="2:8" ht="15" customHeight="1">
      <c r="B655" s="230"/>
      <c r="C655" s="144" t="s">
        <v>436</v>
      </c>
      <c r="D655" s="131">
        <v>63</v>
      </c>
      <c r="E655" s="131" t="s">
        <v>197</v>
      </c>
      <c r="F655" s="131">
        <v>19701</v>
      </c>
      <c r="G655" s="131" t="s">
        <v>195</v>
      </c>
      <c r="H655" s="145" t="s">
        <v>198</v>
      </c>
    </row>
    <row r="656" spans="2:8" ht="15" customHeight="1">
      <c r="B656" s="230"/>
      <c r="C656" s="144" t="s">
        <v>436</v>
      </c>
      <c r="D656" s="131">
        <v>100</v>
      </c>
      <c r="E656" s="131" t="s">
        <v>203</v>
      </c>
      <c r="F656" s="131">
        <v>3659</v>
      </c>
      <c r="G656" s="131" t="s">
        <v>195</v>
      </c>
      <c r="H656" s="145" t="s">
        <v>198</v>
      </c>
    </row>
    <row r="657" spans="2:8" ht="15" customHeight="1">
      <c r="B657" s="230"/>
      <c r="C657" s="144" t="s">
        <v>436</v>
      </c>
      <c r="D657" s="131">
        <v>150</v>
      </c>
      <c r="E657" s="131" t="s">
        <v>203</v>
      </c>
      <c r="F657" s="131">
        <v>2321</v>
      </c>
      <c r="G657" s="131" t="s">
        <v>195</v>
      </c>
      <c r="H657" s="145" t="s">
        <v>198</v>
      </c>
    </row>
    <row r="658" spans="2:8" ht="15" customHeight="1">
      <c r="B658" s="230"/>
      <c r="C658" s="144" t="s">
        <v>436</v>
      </c>
      <c r="D658" s="131">
        <v>80</v>
      </c>
      <c r="E658" s="131" t="s">
        <v>203</v>
      </c>
      <c r="F658" s="131">
        <v>200</v>
      </c>
      <c r="G658" s="131" t="s">
        <v>195</v>
      </c>
      <c r="H658" s="145" t="s">
        <v>198</v>
      </c>
    </row>
    <row r="659" spans="2:8" ht="15" customHeight="1">
      <c r="B659" s="230"/>
      <c r="C659" s="144" t="s">
        <v>436</v>
      </c>
      <c r="D659" s="131">
        <v>150</v>
      </c>
      <c r="E659" s="131" t="s">
        <v>203</v>
      </c>
      <c r="F659" s="131">
        <v>1040</v>
      </c>
      <c r="G659" s="131" t="s">
        <v>195</v>
      </c>
      <c r="H659" s="145" t="s">
        <v>198</v>
      </c>
    </row>
    <row r="660" spans="2:8" ht="15" customHeight="1">
      <c r="B660" s="230"/>
      <c r="C660" s="144" t="s">
        <v>436</v>
      </c>
      <c r="D660" s="131">
        <v>160</v>
      </c>
      <c r="E660" s="131" t="s">
        <v>197</v>
      </c>
      <c r="F660" s="131">
        <v>2036</v>
      </c>
      <c r="G660" s="131" t="s">
        <v>195</v>
      </c>
      <c r="H660" s="145" t="s">
        <v>198</v>
      </c>
    </row>
    <row r="661" spans="2:8" ht="15" customHeight="1">
      <c r="B661" s="230"/>
      <c r="C661" s="144" t="s">
        <v>436</v>
      </c>
      <c r="D661" s="131">
        <v>140</v>
      </c>
      <c r="E661" s="131" t="s">
        <v>197</v>
      </c>
      <c r="F661" s="131">
        <v>4885</v>
      </c>
      <c r="G661" s="131" t="s">
        <v>195</v>
      </c>
      <c r="H661" s="145" t="s">
        <v>198</v>
      </c>
    </row>
    <row r="662" spans="2:8" ht="15" customHeight="1">
      <c r="B662" s="230"/>
      <c r="C662" s="144" t="s">
        <v>436</v>
      </c>
      <c r="D662" s="131">
        <v>160</v>
      </c>
      <c r="E662" s="131" t="s">
        <v>197</v>
      </c>
      <c r="F662" s="131">
        <v>681</v>
      </c>
      <c r="G662" s="131" t="s">
        <v>195</v>
      </c>
      <c r="H662" s="145" t="s">
        <v>198</v>
      </c>
    </row>
    <row r="663" spans="2:8" ht="15" customHeight="1">
      <c r="B663" s="230"/>
      <c r="C663" s="144" t="s">
        <v>436</v>
      </c>
      <c r="D663" s="131">
        <v>125</v>
      </c>
      <c r="E663" s="131" t="s">
        <v>197</v>
      </c>
      <c r="F663" s="131">
        <v>1404</v>
      </c>
      <c r="G663" s="131" t="s">
        <v>195</v>
      </c>
      <c r="H663" s="145" t="s">
        <v>198</v>
      </c>
    </row>
    <row r="664" spans="2:8" ht="15" customHeight="1">
      <c r="B664" s="230"/>
      <c r="C664" s="144" t="s">
        <v>436</v>
      </c>
      <c r="D664" s="131">
        <v>110</v>
      </c>
      <c r="E664" s="131" t="s">
        <v>197</v>
      </c>
      <c r="F664" s="131">
        <v>961</v>
      </c>
      <c r="G664" s="131" t="s">
        <v>195</v>
      </c>
      <c r="H664" s="145" t="s">
        <v>198</v>
      </c>
    </row>
    <row r="665" spans="2:8" ht="15" customHeight="1">
      <c r="B665" s="230"/>
      <c r="C665" s="144" t="s">
        <v>436</v>
      </c>
      <c r="D665" s="131">
        <v>75</v>
      </c>
      <c r="E665" s="131" t="s">
        <v>200</v>
      </c>
      <c r="F665" s="131">
        <v>2543</v>
      </c>
      <c r="G665" s="131" t="s">
        <v>195</v>
      </c>
      <c r="H665" s="145" t="s">
        <v>198</v>
      </c>
    </row>
    <row r="666" spans="2:8" ht="15" customHeight="1">
      <c r="B666" s="230"/>
      <c r="C666" s="144" t="s">
        <v>436</v>
      </c>
      <c r="D666" s="131">
        <v>63</v>
      </c>
      <c r="E666" s="131" t="s">
        <v>200</v>
      </c>
      <c r="F666" s="131">
        <v>2227</v>
      </c>
      <c r="G666" s="131" t="s">
        <v>195</v>
      </c>
      <c r="H666" s="145" t="s">
        <v>198</v>
      </c>
    </row>
    <row r="667" spans="2:8" ht="15" customHeight="1">
      <c r="B667" s="230"/>
      <c r="C667" s="144" t="s">
        <v>436</v>
      </c>
      <c r="D667" s="131">
        <v>90</v>
      </c>
      <c r="E667" s="131" t="s">
        <v>200</v>
      </c>
      <c r="F667" s="131">
        <v>3399</v>
      </c>
      <c r="G667" s="131" t="s">
        <v>195</v>
      </c>
      <c r="H667" s="145" t="s">
        <v>198</v>
      </c>
    </row>
    <row r="668" spans="2:8" ht="15" customHeight="1">
      <c r="B668" s="230"/>
      <c r="C668" s="144" t="s">
        <v>437</v>
      </c>
      <c r="D668" s="131">
        <v>63</v>
      </c>
      <c r="E668" s="131" t="s">
        <v>200</v>
      </c>
      <c r="F668" s="131">
        <v>190</v>
      </c>
      <c r="G668" s="131" t="s">
        <v>195</v>
      </c>
      <c r="H668" s="145" t="s">
        <v>198</v>
      </c>
    </row>
    <row r="669" spans="2:8" ht="15" customHeight="1" thickBot="1">
      <c r="B669" s="231"/>
      <c r="C669" s="149" t="s">
        <v>437</v>
      </c>
      <c r="D669" s="150">
        <v>63</v>
      </c>
      <c r="E669" s="150" t="s">
        <v>200</v>
      </c>
      <c r="F669" s="150">
        <v>10</v>
      </c>
      <c r="G669" s="150" t="s">
        <v>195</v>
      </c>
      <c r="H669" s="151" t="s">
        <v>198</v>
      </c>
    </row>
    <row r="670" spans="2:8" ht="15" customHeight="1">
      <c r="B670" s="229" t="s">
        <v>221</v>
      </c>
      <c r="C670" s="141" t="s">
        <v>430</v>
      </c>
      <c r="D670" s="142">
        <v>63</v>
      </c>
      <c r="E670" s="142" t="s">
        <v>200</v>
      </c>
      <c r="F670" s="142">
        <v>260</v>
      </c>
      <c r="G670" s="142" t="s">
        <v>195</v>
      </c>
      <c r="H670" s="143" t="s">
        <v>198</v>
      </c>
    </row>
    <row r="671" spans="2:8" ht="15" customHeight="1">
      <c r="B671" s="230"/>
      <c r="C671" s="144" t="s">
        <v>430</v>
      </c>
      <c r="D671" s="131">
        <v>63</v>
      </c>
      <c r="E671" s="131" t="s">
        <v>200</v>
      </c>
      <c r="F671" s="131">
        <v>12000</v>
      </c>
      <c r="G671" s="131" t="s">
        <v>195</v>
      </c>
      <c r="H671" s="145" t="s">
        <v>198</v>
      </c>
    </row>
    <row r="672" spans="2:8" ht="15" customHeight="1">
      <c r="B672" s="230"/>
      <c r="C672" s="144" t="s">
        <v>430</v>
      </c>
      <c r="D672" s="131">
        <v>63</v>
      </c>
      <c r="E672" s="131" t="s">
        <v>438</v>
      </c>
      <c r="F672" s="131">
        <v>693</v>
      </c>
      <c r="G672" s="131" t="s">
        <v>195</v>
      </c>
      <c r="H672" s="145" t="s">
        <v>198</v>
      </c>
    </row>
    <row r="673" spans="2:8" ht="15" customHeight="1">
      <c r="B673" s="230"/>
      <c r="C673" s="144" t="s">
        <v>430</v>
      </c>
      <c r="D673" s="131">
        <v>63</v>
      </c>
      <c r="E673" s="131" t="s">
        <v>438</v>
      </c>
      <c r="F673" s="131">
        <v>72</v>
      </c>
      <c r="G673" s="131" t="s">
        <v>195</v>
      </c>
      <c r="H673" s="145" t="s">
        <v>198</v>
      </c>
    </row>
    <row r="674" spans="2:8" ht="15" customHeight="1">
      <c r="B674" s="230"/>
      <c r="C674" s="144" t="s">
        <v>430</v>
      </c>
      <c r="D674" s="131">
        <v>63</v>
      </c>
      <c r="E674" s="131" t="s">
        <v>438</v>
      </c>
      <c r="F674" s="131">
        <v>54</v>
      </c>
      <c r="G674" s="131" t="s">
        <v>195</v>
      </c>
      <c r="H674" s="145" t="s">
        <v>198</v>
      </c>
    </row>
    <row r="675" spans="2:8" ht="15" customHeight="1">
      <c r="B675" s="230"/>
      <c r="C675" s="144" t="s">
        <v>430</v>
      </c>
      <c r="D675" s="131">
        <v>63</v>
      </c>
      <c r="E675" s="131" t="s">
        <v>438</v>
      </c>
      <c r="F675" s="131">
        <v>70</v>
      </c>
      <c r="G675" s="131" t="s">
        <v>195</v>
      </c>
      <c r="H675" s="145" t="s">
        <v>198</v>
      </c>
    </row>
    <row r="676" spans="2:8" ht="15" customHeight="1">
      <c r="B676" s="230"/>
      <c r="C676" s="144" t="s">
        <v>430</v>
      </c>
      <c r="D676" s="131">
        <v>63</v>
      </c>
      <c r="E676" s="131" t="s">
        <v>438</v>
      </c>
      <c r="F676" s="131">
        <v>491</v>
      </c>
      <c r="G676" s="131" t="s">
        <v>195</v>
      </c>
      <c r="H676" s="145" t="s">
        <v>198</v>
      </c>
    </row>
    <row r="677" spans="2:8" ht="15" customHeight="1">
      <c r="B677" s="230"/>
      <c r="C677" s="144" t="s">
        <v>430</v>
      </c>
      <c r="D677" s="131">
        <v>63</v>
      </c>
      <c r="E677" s="131" t="s">
        <v>438</v>
      </c>
      <c r="F677" s="131">
        <v>45</v>
      </c>
      <c r="G677" s="131" t="s">
        <v>195</v>
      </c>
      <c r="H677" s="145" t="s">
        <v>198</v>
      </c>
    </row>
    <row r="678" spans="2:8" ht="15" customHeight="1">
      <c r="B678" s="230"/>
      <c r="C678" s="144" t="s">
        <v>430</v>
      </c>
      <c r="D678" s="131">
        <v>63</v>
      </c>
      <c r="E678" s="131" t="s">
        <v>438</v>
      </c>
      <c r="F678" s="131">
        <v>57</v>
      </c>
      <c r="G678" s="131" t="s">
        <v>195</v>
      </c>
      <c r="H678" s="145" t="s">
        <v>198</v>
      </c>
    </row>
    <row r="679" spans="2:8" ht="15" customHeight="1">
      <c r="B679" s="230"/>
      <c r="C679" s="144" t="s">
        <v>430</v>
      </c>
      <c r="D679" s="131">
        <v>63</v>
      </c>
      <c r="E679" s="131" t="s">
        <v>438</v>
      </c>
      <c r="F679" s="131">
        <v>187</v>
      </c>
      <c r="G679" s="131" t="s">
        <v>195</v>
      </c>
      <c r="H679" s="145" t="s">
        <v>198</v>
      </c>
    </row>
    <row r="680" spans="2:8" ht="15" customHeight="1">
      <c r="B680" s="230"/>
      <c r="C680" s="144" t="s">
        <v>430</v>
      </c>
      <c r="D680" s="131">
        <v>63</v>
      </c>
      <c r="E680" s="131" t="s">
        <v>438</v>
      </c>
      <c r="F680" s="131">
        <v>80</v>
      </c>
      <c r="G680" s="131" t="s">
        <v>195</v>
      </c>
      <c r="H680" s="145" t="s">
        <v>198</v>
      </c>
    </row>
    <row r="681" spans="2:8" ht="15" customHeight="1">
      <c r="B681" s="230"/>
      <c r="C681" s="144" t="s">
        <v>430</v>
      </c>
      <c r="D681" s="131">
        <v>63</v>
      </c>
      <c r="E681" s="131" t="s">
        <v>438</v>
      </c>
      <c r="F681" s="131">
        <v>50</v>
      </c>
      <c r="G681" s="131" t="s">
        <v>195</v>
      </c>
      <c r="H681" s="145" t="s">
        <v>198</v>
      </c>
    </row>
    <row r="682" spans="2:8" ht="15" customHeight="1">
      <c r="B682" s="230"/>
      <c r="C682" s="144" t="s">
        <v>430</v>
      </c>
      <c r="D682" s="131">
        <v>63</v>
      </c>
      <c r="E682" s="131" t="s">
        <v>438</v>
      </c>
      <c r="F682" s="131">
        <v>134</v>
      </c>
      <c r="G682" s="131" t="s">
        <v>195</v>
      </c>
      <c r="H682" s="145" t="s">
        <v>198</v>
      </c>
    </row>
    <row r="683" spans="2:8" ht="15" customHeight="1">
      <c r="B683" s="230"/>
      <c r="C683" s="144" t="s">
        <v>430</v>
      </c>
      <c r="D683" s="131">
        <v>63</v>
      </c>
      <c r="E683" s="131" t="s">
        <v>438</v>
      </c>
      <c r="F683" s="131">
        <v>120</v>
      </c>
      <c r="G683" s="131" t="s">
        <v>195</v>
      </c>
      <c r="H683" s="145" t="s">
        <v>198</v>
      </c>
    </row>
    <row r="684" spans="2:8" ht="15" customHeight="1">
      <c r="B684" s="230"/>
      <c r="C684" s="144" t="s">
        <v>430</v>
      </c>
      <c r="D684" s="131">
        <v>63</v>
      </c>
      <c r="E684" s="131" t="s">
        <v>438</v>
      </c>
      <c r="F684" s="131">
        <v>172</v>
      </c>
      <c r="G684" s="131" t="s">
        <v>195</v>
      </c>
      <c r="H684" s="145" t="s">
        <v>198</v>
      </c>
    </row>
    <row r="685" spans="2:8" ht="15" customHeight="1">
      <c r="B685" s="230"/>
      <c r="C685" s="144" t="s">
        <v>430</v>
      </c>
      <c r="D685" s="131">
        <v>63</v>
      </c>
      <c r="E685" s="131" t="s">
        <v>438</v>
      </c>
      <c r="F685" s="131">
        <v>109</v>
      </c>
      <c r="G685" s="131" t="s">
        <v>195</v>
      </c>
      <c r="H685" s="145" t="s">
        <v>198</v>
      </c>
    </row>
    <row r="686" spans="2:8" ht="15" customHeight="1">
      <c r="B686" s="230"/>
      <c r="C686" s="144" t="s">
        <v>430</v>
      </c>
      <c r="D686" s="131">
        <v>63</v>
      </c>
      <c r="E686" s="131" t="s">
        <v>438</v>
      </c>
      <c r="F686" s="131">
        <v>31</v>
      </c>
      <c r="G686" s="131" t="s">
        <v>195</v>
      </c>
      <c r="H686" s="145" t="s">
        <v>198</v>
      </c>
    </row>
    <row r="687" spans="2:8" ht="15" customHeight="1">
      <c r="B687" s="230"/>
      <c r="C687" s="144" t="s">
        <v>430</v>
      </c>
      <c r="D687" s="131">
        <v>63</v>
      </c>
      <c r="E687" s="131" t="s">
        <v>438</v>
      </c>
      <c r="F687" s="131">
        <v>61</v>
      </c>
      <c r="G687" s="131" t="s">
        <v>195</v>
      </c>
      <c r="H687" s="145" t="s">
        <v>198</v>
      </c>
    </row>
    <row r="688" spans="2:8" ht="15" customHeight="1">
      <c r="B688" s="230"/>
      <c r="C688" s="144" t="s">
        <v>430</v>
      </c>
      <c r="D688" s="131">
        <v>63</v>
      </c>
      <c r="E688" s="131" t="s">
        <v>438</v>
      </c>
      <c r="F688" s="131">
        <v>88</v>
      </c>
      <c r="G688" s="131" t="s">
        <v>195</v>
      </c>
      <c r="H688" s="145" t="s">
        <v>198</v>
      </c>
    </row>
    <row r="689" spans="2:8" ht="15" customHeight="1">
      <c r="B689" s="230"/>
      <c r="C689" s="144" t="s">
        <v>430</v>
      </c>
      <c r="D689" s="131">
        <v>63</v>
      </c>
      <c r="E689" s="131" t="s">
        <v>438</v>
      </c>
      <c r="F689" s="131">
        <v>54</v>
      </c>
      <c r="G689" s="131" t="s">
        <v>195</v>
      </c>
      <c r="H689" s="145" t="s">
        <v>198</v>
      </c>
    </row>
    <row r="690" spans="2:8" ht="15" customHeight="1">
      <c r="B690" s="230"/>
      <c r="C690" s="144" t="s">
        <v>430</v>
      </c>
      <c r="D690" s="131">
        <v>63</v>
      </c>
      <c r="E690" s="131" t="s">
        <v>438</v>
      </c>
      <c r="F690" s="131">
        <v>67</v>
      </c>
      <c r="G690" s="131" t="s">
        <v>195</v>
      </c>
      <c r="H690" s="145" t="s">
        <v>198</v>
      </c>
    </row>
    <row r="691" spans="2:8" ht="15" customHeight="1">
      <c r="B691" s="230"/>
      <c r="C691" s="144" t="s">
        <v>430</v>
      </c>
      <c r="D691" s="131">
        <v>63</v>
      </c>
      <c r="E691" s="131" t="s">
        <v>438</v>
      </c>
      <c r="F691" s="131">
        <v>105</v>
      </c>
      <c r="G691" s="131" t="s">
        <v>195</v>
      </c>
      <c r="H691" s="145" t="s">
        <v>198</v>
      </c>
    </row>
    <row r="692" spans="2:8" ht="15" customHeight="1">
      <c r="B692" s="230"/>
      <c r="C692" s="144" t="s">
        <v>430</v>
      </c>
      <c r="D692" s="131">
        <v>75</v>
      </c>
      <c r="E692" s="131" t="s">
        <v>438</v>
      </c>
      <c r="F692" s="131">
        <v>1420</v>
      </c>
      <c r="G692" s="131" t="s">
        <v>195</v>
      </c>
      <c r="H692" s="145" t="s">
        <v>198</v>
      </c>
    </row>
    <row r="693" spans="2:8" ht="15" customHeight="1">
      <c r="B693" s="230"/>
      <c r="C693" s="144" t="s">
        <v>430</v>
      </c>
      <c r="D693" s="131">
        <v>75</v>
      </c>
      <c r="E693" s="131" t="s">
        <v>438</v>
      </c>
      <c r="F693" s="131">
        <v>54</v>
      </c>
      <c r="G693" s="131" t="s">
        <v>195</v>
      </c>
      <c r="H693" s="145" t="s">
        <v>198</v>
      </c>
    </row>
    <row r="694" spans="2:8" ht="15" customHeight="1">
      <c r="B694" s="230"/>
      <c r="C694" s="144" t="s">
        <v>430</v>
      </c>
      <c r="D694" s="131">
        <v>75</v>
      </c>
      <c r="E694" s="131" t="s">
        <v>438</v>
      </c>
      <c r="F694" s="131">
        <v>95</v>
      </c>
      <c r="G694" s="131" t="s">
        <v>195</v>
      </c>
      <c r="H694" s="145" t="s">
        <v>198</v>
      </c>
    </row>
    <row r="695" spans="2:8" ht="15" customHeight="1">
      <c r="B695" s="230"/>
      <c r="C695" s="144" t="s">
        <v>430</v>
      </c>
      <c r="D695" s="131">
        <v>75</v>
      </c>
      <c r="E695" s="131" t="s">
        <v>438</v>
      </c>
      <c r="F695" s="131">
        <v>93</v>
      </c>
      <c r="G695" s="131" t="s">
        <v>195</v>
      </c>
      <c r="H695" s="145" t="s">
        <v>198</v>
      </c>
    </row>
    <row r="696" spans="2:8" ht="15" customHeight="1">
      <c r="B696" s="230"/>
      <c r="C696" s="144" t="s">
        <v>430</v>
      </c>
      <c r="D696" s="131">
        <v>75</v>
      </c>
      <c r="E696" s="131" t="s">
        <v>438</v>
      </c>
      <c r="F696" s="131">
        <v>34</v>
      </c>
      <c r="G696" s="131" t="s">
        <v>195</v>
      </c>
      <c r="H696" s="145" t="s">
        <v>198</v>
      </c>
    </row>
    <row r="697" spans="2:8" ht="15" customHeight="1">
      <c r="B697" s="230"/>
      <c r="C697" s="144" t="s">
        <v>430</v>
      </c>
      <c r="D697" s="131">
        <v>75</v>
      </c>
      <c r="E697" s="131" t="s">
        <v>438</v>
      </c>
      <c r="F697" s="131">
        <v>680</v>
      </c>
      <c r="G697" s="131" t="s">
        <v>195</v>
      </c>
      <c r="H697" s="145" t="s">
        <v>198</v>
      </c>
    </row>
    <row r="698" spans="2:8" ht="15" customHeight="1">
      <c r="B698" s="230"/>
      <c r="C698" s="144" t="s">
        <v>430</v>
      </c>
      <c r="D698" s="131">
        <v>75</v>
      </c>
      <c r="E698" s="131" t="s">
        <v>438</v>
      </c>
      <c r="F698" s="131">
        <v>200</v>
      </c>
      <c r="G698" s="131" t="s">
        <v>195</v>
      </c>
      <c r="H698" s="145" t="s">
        <v>198</v>
      </c>
    </row>
    <row r="699" spans="2:8" ht="15" customHeight="1" thickBot="1">
      <c r="B699" s="231"/>
      <c r="C699" s="149" t="s">
        <v>430</v>
      </c>
      <c r="D699" s="150" t="s">
        <v>439</v>
      </c>
      <c r="E699" s="150" t="s">
        <v>438</v>
      </c>
      <c r="F699" s="150">
        <v>12000</v>
      </c>
      <c r="G699" s="150" t="s">
        <v>195</v>
      </c>
      <c r="H699" s="151" t="s">
        <v>198</v>
      </c>
    </row>
  </sheetData>
  <mergeCells count="39">
    <mergeCell ref="B55:B56"/>
    <mergeCell ref="B58:B60"/>
    <mergeCell ref="B86:B88"/>
    <mergeCell ref="B8:B26"/>
    <mergeCell ref="B5:H5"/>
    <mergeCell ref="B52:B53"/>
    <mergeCell ref="B82:B85"/>
    <mergeCell ref="B71:B73"/>
    <mergeCell ref="B68:B70"/>
    <mergeCell ref="B74:B78"/>
    <mergeCell ref="B79:B81"/>
    <mergeCell ref="B61:B62"/>
    <mergeCell ref="B63:B65"/>
    <mergeCell ref="B27:B40"/>
    <mergeCell ref="B41:B43"/>
    <mergeCell ref="B49:B51"/>
    <mergeCell ref="B44:B48"/>
    <mergeCell ref="B66:B67"/>
    <mergeCell ref="B670:B699"/>
    <mergeCell ref="B237:B253"/>
    <mergeCell ref="B254:B258"/>
    <mergeCell ref="B259:B310"/>
    <mergeCell ref="B311:B320"/>
    <mergeCell ref="B321:B339"/>
    <mergeCell ref="B89:H89"/>
    <mergeCell ref="B340:B348"/>
    <mergeCell ref="B349:B544"/>
    <mergeCell ref="B545:B646"/>
    <mergeCell ref="B647:B669"/>
    <mergeCell ref="B175:B181"/>
    <mergeCell ref="B182:B194"/>
    <mergeCell ref="B195:B205"/>
    <mergeCell ref="B206:B213"/>
    <mergeCell ref="B214:B236"/>
    <mergeCell ref="B90:B104"/>
    <mergeCell ref="B105:B132"/>
    <mergeCell ref="B133:B139"/>
    <mergeCell ref="B140:B152"/>
    <mergeCell ref="B153:B174"/>
  </mergeCells>
  <dataValidations count="5">
    <dataValidation type="list" allowBlank="1" showErrorMessage="1" sqref="D66:D71 D74:D81">
      <formula1>"AC,BP,FONTE,PEHD,PVC,PEBD,AG,PRV"</formula1>
    </dataValidation>
    <dataValidation type="list" showInputMessage="1" showErrorMessage="1" sqref="E109:E164 E167:E699">
      <formula1>"AC,BP,FONTE,PEHD,PVC,PEBD,AG,PRV,"</formula1>
    </dataValidation>
    <dataValidation type="list" showInputMessage="1" showErrorMessage="1" sqref="H298:H300 H263:H295 H90:H151 H153:H192 H195:H258 H310:H319 H321:H699">
      <formula1>"Bon,Moyen,Dégradé,"</formula1>
    </dataValidation>
    <dataValidation type="list" allowBlank="1" showInputMessage="1" showErrorMessage="1" sqref="G133:G139 G195:G205 G259:G274 G90:G104 G545:G547">
      <formula1>"Gravitaire,Refoulement,"</formula1>
    </dataValidation>
    <dataValidation type="list" allowBlank="1" showInputMessage="1" showErrorMessage="1" sqref="H259:H262">
      <formula1>"Bon,Moyen,Dégradé,"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Détail</vt:lpstr>
      <vt:lpstr>Global</vt:lpstr>
      <vt:lpstr>Réservoir</vt:lpstr>
      <vt:lpstr>SP</vt:lpstr>
      <vt:lpstr>réseau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KHADIJA ELOMARIALAOUI</cp:lastModifiedBy>
  <dcterms:created xsi:type="dcterms:W3CDTF">2015-06-05T18:19:34Z</dcterms:created>
  <dcterms:modified xsi:type="dcterms:W3CDTF">2026-01-07T11:53:32Z</dcterms:modified>
</cp:coreProperties>
</file>